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ctrlProps/ctrlProp6.xml" ContentType="application/vnd.ms-excel.controlproperties+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7" codeName="{00000000-0000-0000-0000-000000000000}"/>
  <workbookPr codeName="ThisWorkbook"/>
  <mc:AlternateContent xmlns:mc="http://schemas.openxmlformats.org/markup-compatibility/2006">
    <mc:Choice Requires="x15">
      <x15ac:absPath xmlns:x15ac="http://schemas.microsoft.com/office/spreadsheetml/2010/11/ac" url="https://uofwaterloo-my.sharepoint.com/personal/ccamazzo_uwaterloo_ca/Documents/Attachments/"/>
    </mc:Choice>
  </mc:AlternateContent>
  <xr:revisionPtr revIDLastSave="0" documentId="8_{D3142E2B-2BEC-427A-90FC-CBB3857D96AF}" xr6:coauthVersionLast="47" xr6:coauthVersionMax="47" xr10:uidLastSave="{00000000-0000-0000-0000-000000000000}"/>
  <bookViews>
    <workbookView xWindow="-120" yWindow="-120" windowWidth="38640" windowHeight="21120" xr2:uid="{AEDA5C15-E50E-9F40-99F1-FE31B1AB4CCE}"/>
  </bookViews>
  <sheets>
    <sheet name="Output" sheetId="4" r:id="rId1"/>
    <sheet name="Expenses&amp;Incomes" sheetId="1" r:id="rId2"/>
    <sheet name="Financial Goals" sheetId="3" r:id="rId3"/>
    <sheet name="Investments" sheetId="5" r:id="rId4"/>
    <sheet name="Backend Storage" sheetId="6" state="hidden"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 i="5" l="1" a="1"/>
  <c r="D9" i="5" s="1"/>
  <c r="E38" i="5" a="1"/>
  <c r="E38" i="5" s="1"/>
  <c r="E37" i="5" a="1"/>
  <c r="E37" i="5" s="1"/>
  <c r="E36" i="5" a="1"/>
  <c r="E36" i="5" s="1"/>
  <c r="E35" i="5" a="1"/>
  <c r="E35" i="5" s="1"/>
  <c r="E34" i="5" a="1"/>
  <c r="E34" i="5" s="1"/>
  <c r="E33" i="5" a="1"/>
  <c r="E33" i="5" s="1"/>
  <c r="E32" i="5" a="1"/>
  <c r="E32" i="5" s="1"/>
  <c r="E31" i="5" a="1"/>
  <c r="E31" i="5" s="1"/>
  <c r="E30" i="5" a="1"/>
  <c r="E30" i="5" s="1"/>
  <c r="E29" i="5" a="1"/>
  <c r="E29" i="5" s="1"/>
  <c r="E28" i="5" a="1"/>
  <c r="E28" i="5" s="1"/>
  <c r="E27" i="5" a="1"/>
  <c r="E27" i="5" s="1"/>
  <c r="E26" i="5" a="1"/>
  <c r="E26" i="5" s="1"/>
  <c r="E25" i="5" a="1"/>
  <c r="E25" i="5" s="1"/>
  <c r="E24" i="5" a="1"/>
  <c r="E24" i="5" s="1"/>
  <c r="E23" i="5" a="1"/>
  <c r="E23" i="5" s="1"/>
  <c r="E22" i="5" a="1"/>
  <c r="E22" i="5" s="1"/>
  <c r="E21" i="5" a="1"/>
  <c r="E21" i="5" s="1"/>
  <c r="E20" i="5" a="1"/>
  <c r="E20" i="5" s="1"/>
  <c r="E19" i="5" a="1"/>
  <c r="E19" i="5" s="1"/>
  <c r="E18" i="5" a="1"/>
  <c r="E18" i="5" s="1"/>
  <c r="E17" i="5" a="1"/>
  <c r="E17" i="5" s="1"/>
  <c r="E16" i="5" a="1"/>
  <c r="E16" i="5" s="1"/>
  <c r="E15" i="5" a="1"/>
  <c r="E15" i="5" s="1"/>
  <c r="E14" i="5" a="1"/>
  <c r="E14" i="5" s="1"/>
  <c r="E13" i="5" a="1"/>
  <c r="E13" i="5" s="1"/>
  <c r="E12" i="5" a="1"/>
  <c r="E12" i="5" s="1"/>
  <c r="E11" i="5" a="1"/>
  <c r="E11" i="5" s="1"/>
  <c r="E10" i="5" a="1"/>
  <c r="E10" i="5" s="1"/>
  <c r="E9" i="5" a="1"/>
  <c r="E9" i="5" s="1"/>
  <c r="E8" i="5" a="1"/>
  <c r="E8" i="5" s="1"/>
  <c r="E7" i="5" a="1"/>
  <c r="E7" i="5" s="1"/>
  <c r="E6" i="5" a="1"/>
  <c r="E6" i="5" s="1"/>
  <c r="E5" i="5" a="1"/>
  <c r="E5" i="5" s="1"/>
  <c r="D38" i="5" a="1"/>
  <c r="D38" i="5" s="1"/>
  <c r="D37" i="5" a="1"/>
  <c r="D37" i="5" s="1"/>
  <c r="D36" i="5" a="1"/>
  <c r="D36" i="5" s="1"/>
  <c r="D35" i="5" a="1"/>
  <c r="D35" i="5" s="1"/>
  <c r="D34" i="5" a="1"/>
  <c r="D34" i="5" s="1"/>
  <c r="D33" i="5" a="1"/>
  <c r="D33" i="5" s="1"/>
  <c r="D32" i="5" a="1"/>
  <c r="D32" i="5" s="1"/>
  <c r="D31" i="5" a="1"/>
  <c r="D31" i="5" s="1"/>
  <c r="D30" i="5" a="1"/>
  <c r="D30" i="5" s="1"/>
  <c r="D29" i="5" a="1"/>
  <c r="D29" i="5" s="1"/>
  <c r="D28" i="5" a="1"/>
  <c r="D28" i="5" s="1"/>
  <c r="D27" i="5" a="1"/>
  <c r="D27" i="5" s="1"/>
  <c r="D26" i="5" a="1"/>
  <c r="D26" i="5" s="1"/>
  <c r="D25" i="5" a="1"/>
  <c r="D25" i="5" s="1"/>
  <c r="D24" i="5" a="1"/>
  <c r="D24" i="5" s="1"/>
  <c r="D23" i="5" a="1"/>
  <c r="D23" i="5" s="1"/>
  <c r="D22" i="5" a="1"/>
  <c r="D22" i="5" s="1"/>
  <c r="D21" i="5" a="1"/>
  <c r="D21" i="5" s="1"/>
  <c r="D20" i="5" a="1"/>
  <c r="D20" i="5" s="1"/>
  <c r="D19" i="5" a="1"/>
  <c r="D19" i="5" s="1"/>
  <c r="D18" i="5" a="1"/>
  <c r="D18" i="5" s="1"/>
  <c r="D17" i="5" a="1"/>
  <c r="D17" i="5" s="1"/>
  <c r="D16" i="5" a="1"/>
  <c r="D16" i="5" s="1"/>
  <c r="D15" i="5" a="1"/>
  <c r="D15" i="5" s="1"/>
  <c r="D14" i="5" a="1"/>
  <c r="D14" i="5" s="1"/>
  <c r="D13" i="5" a="1"/>
  <c r="D13" i="5" s="1"/>
  <c r="D12" i="5" a="1"/>
  <c r="D12" i="5" s="1"/>
  <c r="D11" i="5" a="1"/>
  <c r="D11" i="5" s="1"/>
  <c r="D10" i="5" a="1"/>
  <c r="D10" i="5" s="1"/>
  <c r="D8" i="5" a="1"/>
  <c r="D8" i="5" s="1"/>
  <c r="D7" i="5" a="1"/>
  <c r="D7" i="5" s="1"/>
  <c r="D6" i="5" a="1"/>
  <c r="D6" i="5" s="1"/>
  <c r="D5" i="5" a="1"/>
  <c r="D5" i="5" s="1"/>
  <c r="G4" i="1" a="1"/>
  <c r="G4"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4">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1"/>
        </ext>
      </extLst>
    </bk>
    <bk>
      <extLst>
        <ext uri="{3e2802c4-a4d2-4d8b-9148-e3be6c30e623}">
          <xlrd:rvb i="44"/>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69"/>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0"/>
        </ext>
      </extLst>
    </bk>
    <bk>
      <extLst>
        <ext uri="{3e2802c4-a4d2-4d8b-9148-e3be6c30e623}">
          <xlrd:rvb i="93"/>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futureMetadata>
  <cellMetadata count="1">
    <bk>
      <rc t="1" v="0"/>
    </bk>
  </cellMetadata>
  <valueMetadata count="34">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valueMetadata>
</metadata>
</file>

<file path=xl/sharedStrings.xml><?xml version="1.0" encoding="utf-8"?>
<sst xmlns="http://schemas.openxmlformats.org/spreadsheetml/2006/main" count="105" uniqueCount="79">
  <si>
    <t xml:space="preserve">                                Output</t>
  </si>
  <si>
    <t>Stock</t>
  </si>
  <si>
    <t>gains/loss</t>
  </si>
  <si>
    <t>SPY</t>
  </si>
  <si>
    <t>VOO</t>
  </si>
  <si>
    <t>IVV</t>
  </si>
  <si>
    <t xml:space="preserve">                                                                                                                                                                                                                                                                                                                                                                                                                                                                                                                                                                                                                                                                                                                                                                                                                                                                                                                                                                                                                                                                                                                                                                                                                                                                                                                                                                                                                                                                                                                                                                                                                                                                                                                                                                                                                                                                                                                                                                                                                                                                                                                                                                                                                                                                                                                                                                                                                                                                                                                                                                                                                                                                                                                                                                                                                                                                                                                                                                                                                                                                                                                                                                                                                                                                                                                                                                                                                                                                                                                                                                                                                                                                                                                                                                                                                                                                                                                                                                                                                                                                                                                                                                                                                                                                                                                                                                                                                                                                                                                                                                                                                                                                                                                                                                                                                                                                                                                                                                                                                                                                                                                                                                                                                                                                                                                                                                                                                                                                                                                                                                                                                                                                                                                                                                                                                                                                                                                                                                                                                                                                                                                                                                                                                                                                                                                                                                                                                                                                                                                                                                                                                                                                                                                                                                                                                                                                                                                                                                                                                                                                                                                                                                                                                                                                                                                                                                                                                                                                                                                                                                                                                                                                                                                                                                                                                                                                                                                                                                                                                                                                                                                                                                                                                                                                                                                                                                                                                                                                                                                                                                                                                                                                                                                                                                                                                                                                                                                                                                                                                                                                                                                                                                                                                                                                                                                                                                                                                                                                                                                                                                                                                                                                                                                                                                                                                                                                                                                                                                                                                                                                                                                                                                                                                                                                                                                                                                                                                                                                                                                                                                                </t>
  </si>
  <si>
    <t>VTI</t>
  </si>
  <si>
    <t>JNJ</t>
  </si>
  <si>
    <t xml:space="preserve">  </t>
  </si>
  <si>
    <t>Expenses and Income</t>
  </si>
  <si>
    <t xml:space="preserve">   </t>
  </si>
  <si>
    <t>Date</t>
  </si>
  <si>
    <t>Item</t>
  </si>
  <si>
    <t>Category</t>
  </si>
  <si>
    <t>Amount in $</t>
  </si>
  <si>
    <t>Balance in $</t>
  </si>
  <si>
    <t>tax</t>
  </si>
  <si>
    <t>Bills</t>
  </si>
  <si>
    <t>cloaths</t>
  </si>
  <si>
    <t>Shopping</t>
  </si>
  <si>
    <t>movies</t>
  </si>
  <si>
    <t>Entertainment</t>
  </si>
  <si>
    <t>Paycheck</t>
  </si>
  <si>
    <t>Income</t>
  </si>
  <si>
    <t>Financial Goals</t>
  </si>
  <si>
    <t>Total Contributed</t>
  </si>
  <si>
    <t>Goal (Descending priority)</t>
  </si>
  <si>
    <t>Date To Be Completed</t>
  </si>
  <si>
    <t>Time left</t>
  </si>
  <si>
    <t>Initial Amount</t>
  </si>
  <si>
    <t>Amount Remaining</t>
  </si>
  <si>
    <t>Amount Contributed</t>
  </si>
  <si>
    <t>Goal Progress</t>
  </si>
  <si>
    <t>Car</t>
  </si>
  <si>
    <t>367 days</t>
  </si>
  <si>
    <t>gum</t>
  </si>
  <si>
    <t>-1 days</t>
  </si>
  <si>
    <t>house</t>
  </si>
  <si>
    <t>337 days</t>
  </si>
  <si>
    <t>garden</t>
  </si>
  <si>
    <t>376 days</t>
  </si>
  <si>
    <t xml:space="preserve">                                                                           </t>
  </si>
  <si>
    <t>Investments</t>
  </si>
  <si>
    <t>Stock Ticker</t>
  </si>
  <si>
    <t>Amount Invested</t>
  </si>
  <si>
    <t>Stock Price</t>
  </si>
  <si>
    <t>Percent Change</t>
  </si>
  <si>
    <t>Investment Value</t>
  </si>
  <si>
    <t>Amount Gained/(Lost)</t>
  </si>
  <si>
    <t>SCHB</t>
  </si>
  <si>
    <t>ITOT</t>
  </si>
  <si>
    <t>VXUS</t>
  </si>
  <si>
    <t>VEA</t>
  </si>
  <si>
    <t>IXUS</t>
  </si>
  <si>
    <t>QQQ</t>
  </si>
  <si>
    <t>TQQQ</t>
  </si>
  <si>
    <t>BND</t>
  </si>
  <si>
    <t>AGG</t>
  </si>
  <si>
    <t>TLT</t>
  </si>
  <si>
    <t>AAPL</t>
  </si>
  <si>
    <t>MSFT</t>
  </si>
  <si>
    <t>GOOGL/GOOG</t>
  </si>
  <si>
    <t>AMZN</t>
  </si>
  <si>
    <t>TSLA</t>
  </si>
  <si>
    <t>JPM</t>
  </si>
  <si>
    <t>BAC</t>
  </si>
  <si>
    <t>BRK.B</t>
  </si>
  <si>
    <t>UNH</t>
  </si>
  <si>
    <t>PFE</t>
  </si>
  <si>
    <t>XOM</t>
  </si>
  <si>
    <t>CVX</t>
  </si>
  <si>
    <t>BP</t>
  </si>
  <si>
    <t>PG</t>
  </si>
  <si>
    <t>KO</t>
  </si>
  <si>
    <t>DIS</t>
  </si>
  <si>
    <t>NVDA</t>
  </si>
  <si>
    <t>AMD</t>
  </si>
  <si>
    <t>META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</si>
</sst>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quot;$&quot;#,##0.00;\-&quot;$&quot;#,##0.00"/>
    <numFmt numFmtId="165" formatCode="_([$$-409]* #,##0.00_);_([$$-409]* \(#,##0.00\);_([$$-409]* &quot;-&quot;??_);_(@_)"/>
  </numFmts>
  <fonts count="13">
    <font>
      <sz val="12"/>
      <color theme="1"/>
      <name val="Aptos Narrow"/>
      <family val="2"/>
      <scheme val="minor"/>
    </font>
    <font>
      <sz val="12"/>
      <color theme="1"/>
      <name val="Century"/>
      <family val="1"/>
    </font>
    <font>
      <b/>
      <sz val="12"/>
      <color theme="1"/>
      <name val="Aptos Narrow"/>
      <family val="2"/>
      <scheme val="minor"/>
    </font>
    <font>
      <b/>
      <sz val="12"/>
      <color rgb="FF000000"/>
      <name val="Aptos Narrow"/>
      <family val="2"/>
    </font>
    <font>
      <sz val="72"/>
      <color theme="1"/>
      <name val="Century"/>
      <family val="1"/>
    </font>
    <font>
      <sz val="12"/>
      <color theme="1"/>
      <name val="Aptos Narrow"/>
      <family val="2"/>
      <scheme val="minor"/>
    </font>
    <font>
      <sz val="12"/>
      <color theme="0"/>
      <name val="Aptos Narrow"/>
      <family val="2"/>
      <scheme val="minor"/>
    </font>
    <font>
      <b/>
      <sz val="12"/>
      <color theme="0"/>
      <name val="Aptos Narrow"/>
      <family val="2"/>
      <scheme val="minor"/>
    </font>
    <font>
      <b/>
      <sz val="12"/>
      <color theme="0"/>
      <name val="Century"/>
      <family val="1"/>
    </font>
    <font>
      <sz val="12"/>
      <color theme="0"/>
      <name val="Century"/>
      <family val="1"/>
    </font>
    <font>
      <b/>
      <sz val="12"/>
      <color theme="0"/>
      <name val="Aptos Narrow"/>
      <family val="2"/>
    </font>
    <font>
      <b/>
      <sz val="48"/>
      <color rgb="FF000000"/>
      <name val="Century"/>
      <family val="1"/>
    </font>
    <font>
      <b/>
      <sz val="48"/>
      <color theme="1"/>
      <name val="Century"/>
      <family val="1"/>
    </font>
  </fonts>
  <fills count="9">
    <fill>
      <patternFill patternType="none"/>
    </fill>
    <fill>
      <patternFill patternType="gray125"/>
    </fill>
    <fill>
      <patternFill patternType="solid">
        <fgColor theme="6" tint="0.39997558519241921"/>
        <bgColor indexed="64"/>
      </patternFill>
    </fill>
    <fill>
      <patternFill patternType="solid">
        <fgColor theme="6" tint="0.79998168889431442"/>
        <bgColor indexed="64"/>
      </patternFill>
    </fill>
    <fill>
      <patternFill patternType="solid">
        <fgColor theme="6" tint="-0.499984740745262"/>
        <bgColor indexed="64"/>
      </patternFill>
    </fill>
    <fill>
      <patternFill patternType="solid">
        <fgColor theme="6" tint="0.59999389629810485"/>
        <bgColor indexed="64"/>
      </patternFill>
    </fill>
    <fill>
      <gradientFill degree="90">
        <stop position="0">
          <color theme="1" tint="5.0965910824915313E-2"/>
        </stop>
        <stop position="1">
          <color theme="6" tint="0.40000610370189521"/>
        </stop>
      </gradientFill>
    </fill>
    <fill>
      <gradientFill degree="90">
        <stop position="0">
          <color theme="1"/>
        </stop>
        <stop position="1">
          <color theme="6" tint="0.40000610370189521"/>
        </stop>
      </gradientFill>
    </fill>
    <fill>
      <patternFill patternType="solid">
        <fgColor theme="1"/>
        <bgColor indexed="64"/>
      </patternFill>
    </fill>
  </fills>
  <borders count="1">
    <border>
      <left/>
      <right/>
      <top/>
      <bottom/>
      <diagonal/>
    </border>
  </borders>
  <cellStyleXfs count="3">
    <xf numFmtId="0" fontId="0" fillId="0" borderId="0"/>
    <xf numFmtId="9" fontId="5" fillId="0" borderId="0" applyFont="0" applyFill="0" applyBorder="0" applyAlignment="0" applyProtection="0"/>
    <xf numFmtId="44" fontId="5" fillId="0" borderId="0" applyFont="0" applyFill="0" applyBorder="0" applyAlignment="0" applyProtection="0"/>
  </cellStyleXfs>
  <cellXfs count="38">
    <xf numFmtId="0" fontId="0" fillId="0" borderId="0" xfId="0"/>
    <xf numFmtId="0" fontId="0" fillId="2" borderId="0" xfId="0" applyFill="1"/>
    <xf numFmtId="9" fontId="0" fillId="2" borderId="0" xfId="1" applyFont="1" applyFill="1"/>
    <xf numFmtId="0" fontId="0" fillId="3" borderId="0" xfId="0" applyFill="1"/>
    <xf numFmtId="14" fontId="0" fillId="3" borderId="0" xfId="0" applyNumberFormat="1" applyFill="1"/>
    <xf numFmtId="9" fontId="0" fillId="3" borderId="0" xfId="1" applyFont="1" applyFill="1"/>
    <xf numFmtId="0" fontId="2" fillId="3" borderId="0" xfId="0" applyFont="1" applyFill="1" applyAlignment="1">
      <alignment horizontal="center"/>
    </xf>
    <xf numFmtId="14" fontId="1" fillId="3" borderId="0" xfId="0" applyNumberFormat="1" applyFont="1" applyFill="1"/>
    <xf numFmtId="0" fontId="0" fillId="4" borderId="0" xfId="0" applyFill="1"/>
    <xf numFmtId="9" fontId="6" fillId="4" borderId="0" xfId="1" applyFont="1" applyFill="1"/>
    <xf numFmtId="14" fontId="9" fillId="4" borderId="0" xfId="0" applyNumberFormat="1" applyFont="1" applyFill="1" applyAlignment="1">
      <alignment horizontal="center"/>
    </xf>
    <xf numFmtId="14" fontId="8" fillId="4" borderId="0" xfId="0" applyNumberFormat="1" applyFont="1" applyFill="1" applyAlignment="1">
      <alignment horizontal="center"/>
    </xf>
    <xf numFmtId="0" fontId="8" fillId="4" borderId="0" xfId="0" applyFont="1" applyFill="1" applyAlignment="1">
      <alignment horizontal="center"/>
    </xf>
    <xf numFmtId="0" fontId="10" fillId="4" borderId="0" xfId="0" applyFont="1" applyFill="1" applyAlignment="1">
      <alignment horizontal="center"/>
    </xf>
    <xf numFmtId="9" fontId="10" fillId="4" borderId="0" xfId="1" applyFont="1" applyFill="1" applyAlignment="1">
      <alignment horizontal="center"/>
    </xf>
    <xf numFmtId="14" fontId="7" fillId="4" borderId="0" xfId="0" applyNumberFormat="1" applyFont="1" applyFill="1" applyAlignment="1">
      <alignment horizontal="center"/>
    </xf>
    <xf numFmtId="0" fontId="7" fillId="4" borderId="0" xfId="0" applyFont="1" applyFill="1" applyAlignment="1">
      <alignment horizontal="center"/>
    </xf>
    <xf numFmtId="0" fontId="3" fillId="5" borderId="0" xfId="0" applyFont="1" applyFill="1" applyAlignment="1">
      <alignment horizontal="center"/>
    </xf>
    <xf numFmtId="0" fontId="0" fillId="5" borderId="0" xfId="0" applyFill="1"/>
    <xf numFmtId="0" fontId="1" fillId="3" borderId="0" xfId="0" applyFont="1" applyFill="1"/>
    <xf numFmtId="0" fontId="6" fillId="4" borderId="0" xfId="0" applyFont="1" applyFill="1"/>
    <xf numFmtId="165" fontId="0" fillId="2" borderId="0" xfId="0" applyNumberFormat="1" applyFill="1"/>
    <xf numFmtId="44" fontId="6" fillId="4" borderId="0" xfId="2" applyFont="1" applyFill="1"/>
    <xf numFmtId="165" fontId="6" fillId="4" borderId="0" xfId="0" applyNumberFormat="1" applyFont="1" applyFill="1"/>
    <xf numFmtId="10" fontId="6" fillId="4" borderId="0" xfId="0" applyNumberFormat="1" applyFont="1" applyFill="1"/>
    <xf numFmtId="164" fontId="6" fillId="4" borderId="0" xfId="0" applyNumberFormat="1" applyFont="1" applyFill="1"/>
    <xf numFmtId="0" fontId="9" fillId="4" borderId="0" xfId="0" applyFont="1" applyFill="1" applyAlignment="1">
      <alignment horizontal="center"/>
    </xf>
    <xf numFmtId="0" fontId="0" fillId="8" borderId="0" xfId="0" applyFill="1"/>
    <xf numFmtId="164" fontId="0" fillId="2" borderId="0" xfId="0" applyNumberFormat="1" applyFill="1"/>
    <xf numFmtId="164" fontId="0" fillId="3" borderId="0" xfId="0" applyNumberFormat="1" applyFill="1"/>
    <xf numFmtId="14" fontId="1" fillId="3" borderId="0" xfId="0" applyNumberFormat="1" applyFont="1" applyFill="1" applyAlignment="1">
      <alignment horizontal="center"/>
    </xf>
    <xf numFmtId="0" fontId="1" fillId="4" borderId="0" xfId="0" applyFont="1" applyFill="1"/>
    <xf numFmtId="0" fontId="4" fillId="2" borderId="0" xfId="0" applyFont="1" applyFill="1" applyAlignment="1">
      <alignment horizontal="center"/>
    </xf>
    <xf numFmtId="0" fontId="0" fillId="6" borderId="0" xfId="0" applyFill="1" applyAlignment="1">
      <alignment horizontal="center"/>
    </xf>
    <xf numFmtId="0" fontId="0" fillId="7" borderId="0" xfId="0" applyFill="1" applyAlignment="1">
      <alignment horizontal="center"/>
    </xf>
    <xf numFmtId="0" fontId="11" fillId="2" borderId="0" xfId="0" applyFont="1" applyFill="1" applyAlignment="1">
      <alignment horizontal="center"/>
    </xf>
    <xf numFmtId="0" fontId="12" fillId="2" borderId="0" xfId="0" applyFont="1" applyFill="1" applyAlignment="1">
      <alignment horizontal="center"/>
    </xf>
    <xf numFmtId="0" fontId="2" fillId="2" borderId="0" xfId="0" applyFont="1" applyFill="1" applyAlignment="1">
      <alignment horizontal="center"/>
    </xf>
  </cellXfs>
  <cellStyles count="3">
    <cellStyle name="Currency" xfId="2" builtinId="4"/>
    <cellStyle name="Normal" xfId="0" builtinId="0"/>
    <cellStyle name="Percent" xfId="1" builtinId="5"/>
  </cellStyles>
  <dxfs count="35">
    <dxf>
      <font>
        <strike val="0"/>
        <outline val="0"/>
        <shadow val="0"/>
        <u val="none"/>
        <vertAlign val="baseline"/>
        <sz val="12"/>
        <color theme="0"/>
        <name val="Aptos Narrow"/>
        <family val="2"/>
        <scheme val="minor"/>
      </font>
      <numFmt numFmtId="34" formatCode="_(&quot;$&quot;* #,##0.00_);_(&quot;$&quot;* \(#,##0.00\);_(&quot;$&quot;* &quot;-&quot;??_);_(@_)"/>
      <fill>
        <patternFill patternType="solid">
          <fgColor indexed="64"/>
          <bgColor theme="6" tint="-0.499984740745262"/>
        </patternFill>
      </fill>
    </dxf>
    <dxf>
      <font>
        <strike val="0"/>
        <outline val="0"/>
        <shadow val="0"/>
        <u val="none"/>
        <vertAlign val="baseline"/>
        <sz val="12"/>
        <color theme="0"/>
        <name val="Aptos Narrow"/>
        <family val="2"/>
        <scheme val="minor"/>
      </font>
      <fill>
        <patternFill patternType="solid">
          <fgColor indexed="64"/>
          <bgColor theme="6" tint="-0.499984740745262"/>
        </patternFill>
      </fill>
    </dxf>
    <dxf>
      <font>
        <strike val="0"/>
        <outline val="0"/>
        <shadow val="0"/>
        <u val="none"/>
        <vertAlign val="baseline"/>
        <sz val="12"/>
        <color theme="0"/>
        <name val="Aptos Narrow"/>
        <family val="2"/>
        <scheme val="minor"/>
      </font>
      <numFmt numFmtId="14" formatCode="0.00%"/>
      <fill>
        <patternFill patternType="solid">
          <fgColor indexed="64"/>
          <bgColor theme="6" tint="-0.499984740745262"/>
        </patternFill>
      </fill>
    </dxf>
    <dxf>
      <font>
        <strike val="0"/>
        <outline val="0"/>
        <shadow val="0"/>
        <u val="none"/>
        <vertAlign val="baseline"/>
        <sz val="12"/>
        <color theme="0"/>
        <name val="Aptos Narrow"/>
        <family val="2"/>
        <scheme val="minor"/>
      </font>
      <numFmt numFmtId="165" formatCode="_([$$-409]* #,##0.00_);_([$$-409]* \(#,##0.00\);_([$$-409]* &quot;-&quot;??_);_(@_)"/>
      <fill>
        <patternFill patternType="solid">
          <fgColor indexed="64"/>
          <bgColor theme="6" tint="-0.499984740745262"/>
        </patternFill>
      </fill>
    </dxf>
    <dxf>
      <font>
        <strike val="0"/>
        <outline val="0"/>
        <shadow val="0"/>
        <u val="none"/>
        <vertAlign val="baseline"/>
        <sz val="12"/>
        <color theme="0"/>
        <name val="Aptos Narrow"/>
        <family val="2"/>
        <scheme val="minor"/>
      </font>
      <fill>
        <patternFill patternType="solid">
          <fgColor indexed="64"/>
          <bgColor theme="6" tint="-0.499984740745262"/>
        </patternFill>
      </fill>
    </dxf>
    <dxf>
      <font>
        <strike val="0"/>
        <outline val="0"/>
        <shadow val="0"/>
        <u val="none"/>
        <vertAlign val="baseline"/>
        <sz val="12"/>
        <color theme="0"/>
        <name val="Aptos Narrow"/>
        <family val="2"/>
        <scheme val="minor"/>
      </font>
      <fill>
        <patternFill patternType="solid">
          <fgColor indexed="64"/>
          <bgColor theme="6" tint="-0.499984740745262"/>
        </patternFill>
      </fill>
    </dxf>
    <dxf>
      <font>
        <strike val="0"/>
        <outline val="0"/>
        <shadow val="0"/>
        <u val="none"/>
        <vertAlign val="baseline"/>
        <sz val="12"/>
        <color theme="0"/>
        <name val="Aptos Narrow"/>
        <family val="2"/>
        <scheme val="minor"/>
      </font>
      <fill>
        <patternFill patternType="solid">
          <fgColor indexed="64"/>
          <bgColor theme="6" tint="-0.499984740745262"/>
        </patternFill>
      </fill>
    </dxf>
    <dxf>
      <font>
        <strike val="0"/>
        <outline val="0"/>
        <shadow val="0"/>
        <u val="none"/>
        <vertAlign val="baseline"/>
        <sz val="12"/>
        <color theme="0"/>
        <name val="Aptos Narrow"/>
        <family val="2"/>
        <scheme val="minor"/>
      </font>
      <fill>
        <patternFill patternType="solid">
          <fgColor indexed="64"/>
          <bgColor theme="6" tint="-0.499984740745262"/>
        </patternFill>
      </fill>
    </dxf>
    <dxf>
      <font>
        <strike val="0"/>
        <outline val="0"/>
        <shadow val="0"/>
        <u val="none"/>
        <vertAlign val="baseline"/>
        <sz val="12"/>
        <color theme="0"/>
        <name val="Aptos Narrow"/>
        <family val="2"/>
        <scheme val="minor"/>
      </font>
      <fill>
        <patternFill patternType="solid">
          <fgColor indexed="64"/>
          <bgColor theme="6" tint="-0.499984740745262"/>
        </patternFill>
      </fill>
    </dxf>
    <dxf>
      <font>
        <b/>
        <i val="0"/>
        <strike val="0"/>
        <condense val="0"/>
        <extend val="0"/>
        <outline val="0"/>
        <shadow val="0"/>
        <u val="none"/>
        <vertAlign val="baseline"/>
        <sz val="12"/>
        <color rgb="FF000000"/>
        <name val="Aptos Narrow"/>
        <family val="2"/>
        <scheme val="none"/>
      </font>
      <fill>
        <patternFill patternType="solid">
          <fgColor indexed="64"/>
          <bgColor theme="6"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2"/>
        <color rgb="FF000000"/>
        <name val="Aptos Narrow"/>
        <family val="2"/>
        <scheme val="none"/>
      </font>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entury"/>
        <family val="1"/>
        <scheme val="none"/>
      </font>
      <fill>
        <patternFill patternType="solid">
          <fgColor indexed="64"/>
          <bgColor theme="6" tint="-0.499984740745262"/>
        </patternFill>
      </fill>
    </dxf>
    <dxf>
      <font>
        <b/>
        <i val="0"/>
        <strike val="0"/>
        <condense val="0"/>
        <extend val="0"/>
        <outline val="0"/>
        <shadow val="0"/>
        <u val="none"/>
        <vertAlign val="baseline"/>
        <sz val="12"/>
        <color theme="0"/>
        <name val="Aptos Narrow"/>
        <family val="2"/>
        <scheme val="none"/>
      </font>
      <numFmt numFmtId="13" formatCode="0%"/>
      <fill>
        <patternFill patternType="solid">
          <fgColor indexed="64"/>
          <bgColor theme="6" tint="-0.499984740745262"/>
        </patternFill>
      </fill>
      <alignment horizontal="center" vertical="bottom" textRotation="0" wrapText="0" indent="0" justifyLastLine="0" shrinkToFit="0" readingOrder="0"/>
    </dxf>
    <dxf>
      <font>
        <b/>
        <i val="0"/>
        <strike val="0"/>
        <condense val="0"/>
        <extend val="0"/>
        <outline val="0"/>
        <shadow val="0"/>
        <u val="none"/>
        <vertAlign val="baseline"/>
        <sz val="12"/>
        <color theme="0"/>
        <name val="Aptos Narrow"/>
        <family val="2"/>
        <scheme val="none"/>
      </font>
      <numFmt numFmtId="0" formatCode="General"/>
      <fill>
        <patternFill patternType="solid">
          <fgColor indexed="64"/>
          <bgColor theme="6" tint="-0.499984740745262"/>
        </patternFill>
      </fill>
      <alignment horizontal="center" vertical="bottom" textRotation="0" wrapText="0" indent="0" justifyLastLine="0" shrinkToFit="0" readingOrder="0"/>
    </dxf>
    <dxf>
      <font>
        <b/>
        <i val="0"/>
        <strike val="0"/>
        <condense val="0"/>
        <extend val="0"/>
        <outline val="0"/>
        <shadow val="0"/>
        <u val="none"/>
        <vertAlign val="baseline"/>
        <sz val="12"/>
        <color theme="0"/>
        <name val="Aptos Narrow"/>
        <family val="2"/>
        <scheme val="none"/>
      </font>
      <fill>
        <patternFill patternType="solid">
          <fgColor indexed="64"/>
          <bgColor theme="6" tint="-0.499984740745262"/>
        </patternFill>
      </fill>
      <alignment horizontal="center" vertical="bottom" textRotation="0" wrapText="0" indent="0" justifyLastLine="0" shrinkToFit="0" readingOrder="0"/>
    </dxf>
    <dxf>
      <font>
        <b/>
        <i val="0"/>
        <strike val="0"/>
        <condense val="0"/>
        <extend val="0"/>
        <outline val="0"/>
        <shadow val="0"/>
        <u val="none"/>
        <vertAlign val="baseline"/>
        <sz val="12"/>
        <color theme="0"/>
        <name val="Aptos Narrow"/>
        <family val="2"/>
        <scheme val="minor"/>
      </font>
      <fill>
        <patternFill patternType="solid">
          <fgColor indexed="64"/>
          <bgColor theme="6" tint="-0.499984740745262"/>
        </patternFill>
      </fill>
      <alignment horizontal="center" vertical="bottom" textRotation="0" wrapText="0" indent="0" justifyLastLine="0" shrinkToFit="0" readingOrder="0"/>
    </dxf>
    <dxf>
      <font>
        <b/>
        <i val="0"/>
        <strike val="0"/>
        <condense val="0"/>
        <extend val="0"/>
        <outline val="0"/>
        <shadow val="0"/>
        <u val="none"/>
        <vertAlign val="baseline"/>
        <sz val="12"/>
        <color theme="0"/>
        <name val="Aptos Narrow"/>
        <family val="2"/>
        <scheme val="minor"/>
      </font>
      <fill>
        <patternFill patternType="solid">
          <fgColor indexed="64"/>
          <bgColor theme="6" tint="-0.499984740745262"/>
        </patternFill>
      </fill>
      <alignment horizontal="center" vertical="bottom" textRotation="0" wrapText="0" indent="0" justifyLastLine="0" shrinkToFit="0" readingOrder="0"/>
    </dxf>
    <dxf>
      <font>
        <b/>
        <i val="0"/>
        <strike val="0"/>
        <condense val="0"/>
        <extend val="0"/>
        <outline val="0"/>
        <shadow val="0"/>
        <u val="none"/>
        <vertAlign val="baseline"/>
        <sz val="12"/>
        <color theme="0"/>
        <name val="Aptos Narrow"/>
        <family val="2"/>
        <scheme val="minor"/>
      </font>
      <fill>
        <patternFill patternType="solid">
          <fgColor indexed="64"/>
          <bgColor theme="6"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2"/>
        <color theme="0"/>
        <name val="Century"/>
        <family val="1"/>
        <scheme val="none"/>
      </font>
      <fill>
        <patternFill patternType="solid">
          <fgColor indexed="64"/>
          <bgColor theme="6" tint="-0.499984740745262"/>
        </patternFill>
      </fill>
      <alignment horizontal="center" vertical="bottom" textRotation="0" wrapText="0" indent="0" justifyLastLine="0" shrinkToFit="0" readingOrder="0"/>
    </dxf>
    <dxf>
      <font>
        <b/>
        <i val="0"/>
        <strike val="0"/>
        <condense val="0"/>
        <extend val="0"/>
        <outline val="0"/>
        <shadow val="0"/>
        <u val="none"/>
        <vertAlign val="baseline"/>
        <sz val="12"/>
        <color theme="0"/>
        <name val="Aptos Narrow"/>
        <family val="2"/>
        <scheme val="none"/>
      </font>
      <fill>
        <patternFill patternType="solid">
          <fgColor indexed="64"/>
          <bgColor theme="6" tint="-0.499984740745262"/>
        </patternFill>
      </fill>
      <alignment horizontal="center" vertical="bottom" textRotation="0" wrapText="0" indent="0" justifyLastLine="0" shrinkToFit="0" readingOrder="0"/>
    </dxf>
    <dxf>
      <fill>
        <patternFill patternType="solid">
          <fgColor indexed="64"/>
          <bgColor theme="6" tint="-0.499984740745262"/>
        </patternFill>
      </fill>
    </dxf>
    <dxf>
      <font>
        <color rgb="FF006100"/>
      </font>
      <fill>
        <patternFill>
          <bgColor rgb="FFC6EFCE"/>
        </patternFill>
      </fill>
    </dxf>
    <dxf>
      <fill>
        <patternFill patternType="solid">
          <fgColor indexed="64"/>
          <bgColor theme="6" tint="0.59999389629810485"/>
        </patternFill>
      </fill>
    </dxf>
    <dxf>
      <fill>
        <patternFill patternType="solid">
          <fgColor indexed="64"/>
          <bgColor theme="6" tint="0.59999389629810485"/>
        </patternFill>
      </fill>
    </dxf>
    <dxf>
      <fill>
        <patternFill patternType="solid">
          <fgColor indexed="64"/>
          <bgColor theme="6" tint="-0.499984740745262"/>
        </patternFill>
      </fill>
    </dxf>
    <dxf>
      <font>
        <b/>
        <i val="0"/>
        <strike val="0"/>
        <condense val="0"/>
        <extend val="0"/>
        <outline val="0"/>
        <shadow val="0"/>
        <u val="none"/>
        <vertAlign val="baseline"/>
        <sz val="12"/>
        <color theme="0"/>
        <name val="Aptos Narrow"/>
        <family val="2"/>
        <scheme val="minor"/>
      </font>
      <fill>
        <patternFill patternType="solid">
          <fgColor indexed="64"/>
          <bgColor theme="6" tint="-0.499984740745262"/>
        </patternFill>
      </fill>
      <alignment horizontal="center" vertical="bottom" textRotation="0" wrapText="0" indent="0" justifyLastLine="0" shrinkToFit="0" readingOrder="0"/>
    </dxf>
    <dxf>
      <font>
        <b/>
        <i val="0"/>
        <strike val="0"/>
        <condense val="0"/>
        <extend val="0"/>
        <outline val="0"/>
        <shadow val="0"/>
        <u val="none"/>
        <vertAlign val="baseline"/>
        <sz val="12"/>
        <color theme="0"/>
        <name val="Aptos Narrow"/>
        <family val="2"/>
        <scheme val="minor"/>
      </font>
      <fill>
        <patternFill patternType="solid">
          <fgColor indexed="64"/>
          <bgColor theme="6" tint="-0.499984740745262"/>
        </patternFill>
      </fill>
      <alignment horizontal="center" vertical="bottom" textRotation="0" wrapText="0" indent="0" justifyLastLine="0" shrinkToFit="0" readingOrder="0"/>
    </dxf>
    <dxf>
      <font>
        <b/>
        <i val="0"/>
        <strike val="0"/>
        <condense val="0"/>
        <extend val="0"/>
        <outline val="0"/>
        <shadow val="0"/>
        <u val="none"/>
        <vertAlign val="baseline"/>
        <sz val="12"/>
        <color theme="0"/>
        <name val="Aptos Narrow"/>
        <family val="2"/>
        <scheme val="minor"/>
      </font>
      <fill>
        <patternFill patternType="solid">
          <fgColor indexed="64"/>
          <bgColor theme="6"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2"/>
        <color theme="0"/>
        <name val="Century"/>
        <family val="1"/>
        <scheme val="none"/>
      </font>
      <fill>
        <patternFill patternType="solid">
          <fgColor indexed="64"/>
          <bgColor theme="6" tint="-0.499984740745262"/>
        </patternFill>
      </fill>
      <alignment horizontal="center" vertical="bottom" textRotation="0" wrapText="0" indent="0" justifyLastLine="0" shrinkToFit="0" readingOrder="0"/>
    </dxf>
    <dxf>
      <font>
        <b/>
        <i val="0"/>
        <strike val="0"/>
        <condense val="0"/>
        <extend val="0"/>
        <outline val="0"/>
        <shadow val="0"/>
        <u val="none"/>
        <vertAlign val="baseline"/>
        <sz val="12"/>
        <color theme="0"/>
        <name val="Aptos Narrow"/>
        <family val="2"/>
        <scheme val="minor"/>
      </font>
      <fill>
        <patternFill patternType="solid">
          <fgColor indexed="64"/>
          <bgColor theme="6" tint="-0.499984740745262"/>
        </patternFill>
      </fill>
      <alignment horizontal="center" vertical="bottom" textRotation="0" wrapText="0" indent="0" justifyLastLine="0" shrinkToFit="0" readingOrder="0"/>
    </dxf>
    <dxf>
      <font>
        <strike val="0"/>
        <outline val="0"/>
        <shadow val="0"/>
        <u val="none"/>
        <vertAlign val="baseline"/>
        <sz val="12"/>
        <color theme="0"/>
      </font>
      <fill>
        <patternFill patternType="solid">
          <fgColor indexed="64"/>
          <bgColor theme="6" tint="-0.499984740745262"/>
        </patternFill>
      </fill>
    </dxf>
    <dxf>
      <fill>
        <patternFill patternType="solid">
          <fgColor indexed="64"/>
          <bgColor theme="6" tint="0.39997558519241921"/>
        </patternFill>
      </fill>
      <alignment horizontal="general" vertical="bottom" textRotation="0" wrapText="0" indent="0" justifyLastLine="0" shrinkToFit="0" readingOrder="0"/>
    </dxf>
    <dxf>
      <fill>
        <patternFill patternType="solid">
          <fgColor indexed="64"/>
          <bgColor theme="6" tint="0.39997558519241921"/>
        </patternFill>
      </fill>
      <alignment horizontal="general" vertical="bottom" textRotation="0" wrapText="0" indent="0" justifyLastLine="0" shrinkToFit="0" readingOrder="0"/>
    </dxf>
    <dxf>
      <fill>
        <patternFill patternType="solid">
          <fgColor indexed="64"/>
          <bgColor theme="6" tint="0.39997558519241921"/>
        </patternFill>
      </fill>
      <alignment horizontal="general" vertical="bottom" textRotation="0" wrapText="0" indent="0" justifyLastLine="0" shrinkToFit="0" readingOrder="0"/>
    </dxf>
    <dxf>
      <fill>
        <patternFill patternType="solid">
          <fgColor indexed="64"/>
          <bgColor theme="1"/>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17/06/relationships/rdSupportingPropertyBagStructure" Target="richData/rdsupportingpropertybagstructure.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06/relationships/richStyles" Target="richData/rich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Structure" Target="richData/rdrichvaluestructure.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microsoft.com/office/2017/06/relationships/rdRichValue" Target="richData/rdrichvalue.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17/06/relationships/rdSupportingPropertyBag" Target="richData/rdsupportingpropertybag.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Bar Chart of Investments</a:t>
            </a:r>
          </a:p>
        </c:rich>
      </c:tx>
      <c:overlay val="0"/>
    </c:title>
    <c:autoTitleDeleted val="0"/>
    <c:plotArea>
      <c:layout/>
      <c:barChart>
        <c:barDir val="bar"/>
        <c:grouping val="clustered"/>
        <c:varyColors val="0"/>
        <c:ser>
          <c:idx val="0"/>
          <c:order val="0"/>
          <c:invertIfNegative val="0"/>
          <c:cat>
            <c:strRef>
              <c:f>Output!$Q$38:$Q$42</c:f>
              <c:strCache>
                <c:ptCount val="5"/>
                <c:pt idx="0">
                  <c:v>SPY</c:v>
                </c:pt>
                <c:pt idx="1">
                  <c:v>VOO</c:v>
                </c:pt>
                <c:pt idx="2">
                  <c:v>IVV</c:v>
                </c:pt>
                <c:pt idx="3">
                  <c:v>VTI</c:v>
                </c:pt>
                <c:pt idx="4">
                  <c:v>JNJ</c:v>
                </c:pt>
              </c:strCache>
            </c:strRef>
          </c:cat>
          <c:val>
            <c:numRef>
              <c:f>Output!$Q$38:$Q$42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A51-4B7C-9390-E781CD89A9E8}"/>
            </c:ext>
          </c:extLst>
        </c:ser>
        <c:ser>
          <c:idx val="1"/>
          <c:order val="1"/>
          <c:invertIfNegative val="0"/>
          <c:cat>
            <c:strRef>
              <c:f>Output!$Q$38:$Q$42</c:f>
              <c:strCache>
                <c:ptCount val="5"/>
                <c:pt idx="0">
                  <c:v>SPY</c:v>
                </c:pt>
                <c:pt idx="1">
                  <c:v>VOO</c:v>
                </c:pt>
                <c:pt idx="2">
                  <c:v>IVV</c:v>
                </c:pt>
                <c:pt idx="3">
                  <c:v>VTI</c:v>
                </c:pt>
                <c:pt idx="4">
                  <c:v>JNJ</c:v>
                </c:pt>
              </c:strCache>
            </c:strRef>
          </c:cat>
          <c:val>
            <c:numRef>
              <c:f>Output!$R$38:$R$42</c:f>
              <c:numCache>
                <c:formatCode>"$"#,##0.00;\-"$"#,##0.00</c:formatCode>
                <c:ptCount val="5"/>
                <c:pt idx="0">
                  <c:v>43.87</c:v>
                </c:pt>
                <c:pt idx="1">
                  <c:v>9.5299999999999994</c:v>
                </c:pt>
                <c:pt idx="2">
                  <c:v>0.61</c:v>
                </c:pt>
                <c:pt idx="3">
                  <c:v>0.56000000000000005</c:v>
                </c:pt>
                <c:pt idx="4">
                  <c:v>-1.43</c:v>
                </c:pt>
              </c:numCache>
            </c:numRef>
          </c:val>
          <c:extLst>
            <c:ext xmlns:c16="http://schemas.microsoft.com/office/drawing/2014/chart" uri="{C3380CC4-5D6E-409C-BE32-E72D297353CC}">
              <c16:uniqueId val="{00000001-2A51-4B7C-9390-E781CD89A9E8}"/>
            </c:ext>
          </c:extLst>
        </c:ser>
        <c:dLbls>
          <c:showLegendKey val="0"/>
          <c:showVal val="0"/>
          <c:showCatName val="0"/>
          <c:showSerName val="0"/>
          <c:showPercent val="0"/>
          <c:showBubbleSize val="0"/>
        </c:dLbls>
        <c:gapWidth val="150"/>
        <c:axId val="561128655"/>
        <c:axId val="561126575"/>
      </c:barChart>
      <c:catAx>
        <c:axId val="561128655"/>
        <c:scaling>
          <c:orientation val="minMax"/>
        </c:scaling>
        <c:delete val="0"/>
        <c:axPos val="l"/>
        <c:title>
          <c:tx>
            <c:rich>
              <a:bodyPr/>
              <a:lstStyle/>
              <a:p>
                <a:pPr>
                  <a:defRPr/>
                </a:pPr>
                <a:r>
                  <a:rPr lang="en-CA"/>
                  <a:t>Stock</a:t>
                </a:r>
              </a:p>
            </c:rich>
          </c:tx>
          <c:overlay val="0"/>
        </c:title>
        <c:numFmt formatCode="General" sourceLinked="1"/>
        <c:majorTickMark val="out"/>
        <c:minorTickMark val="none"/>
        <c:tickLblPos val="nextTo"/>
        <c:crossAx val="561126575"/>
        <c:crosses val="autoZero"/>
        <c:auto val="1"/>
        <c:lblAlgn val="ctr"/>
        <c:lblOffset val="100"/>
        <c:noMultiLvlLbl val="0"/>
      </c:catAx>
      <c:valAx>
        <c:axId val="561126575"/>
        <c:scaling>
          <c:orientation val="minMax"/>
        </c:scaling>
        <c:delete val="0"/>
        <c:axPos val="b"/>
        <c:majorGridlines/>
        <c:title>
          <c:tx>
            <c:rich>
              <a:bodyPr/>
              <a:lstStyle/>
              <a:p>
                <a:pPr>
                  <a:defRPr/>
                </a:pPr>
                <a:r>
                  <a:rPr lang="en-CA"/>
                  <a:t>Amount Gained/Lost</a:t>
                </a:r>
              </a:p>
            </c:rich>
          </c:tx>
          <c:overlay val="0"/>
        </c:title>
        <c:numFmt formatCode="General" sourceLinked="1"/>
        <c:majorTickMark val="out"/>
        <c:minorTickMark val="none"/>
        <c:tickLblPos val="nextTo"/>
        <c:crossAx val="5611286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Bar Chart of Investments</a:t>
            </a:r>
          </a:p>
        </c:rich>
      </c:tx>
      <c:overlay val="0"/>
    </c:title>
    <c:autoTitleDeleted val="0"/>
    <c:plotArea>
      <c:layout/>
      <c:barChart>
        <c:barDir val="bar"/>
        <c:grouping val="clustered"/>
        <c:varyColors val="0"/>
        <c:ser>
          <c:idx val="0"/>
          <c:order val="0"/>
          <c:invertIfNegative val="0"/>
          <c:cat>
            <c:strRef>
              <c:f>Output!$Q$38:$Q$42</c:f>
              <c:strCache>
                <c:ptCount val="5"/>
                <c:pt idx="0">
                  <c:v>SPY</c:v>
                </c:pt>
                <c:pt idx="1">
                  <c:v>VOO</c:v>
                </c:pt>
                <c:pt idx="2">
                  <c:v>IVV</c:v>
                </c:pt>
                <c:pt idx="3">
                  <c:v>VTI</c:v>
                </c:pt>
                <c:pt idx="4">
                  <c:v>JNJ</c:v>
                </c:pt>
              </c:strCache>
            </c:strRef>
          </c:cat>
          <c:val>
            <c:numRef>
              <c:f>Output!$Q$38:$Q$42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AA90-4EE6-90A5-718996FD4148}"/>
            </c:ext>
          </c:extLst>
        </c:ser>
        <c:ser>
          <c:idx val="1"/>
          <c:order val="1"/>
          <c:invertIfNegative val="0"/>
          <c:cat>
            <c:strRef>
              <c:f>Output!$Q$38:$Q$42</c:f>
              <c:strCache>
                <c:ptCount val="5"/>
                <c:pt idx="0">
                  <c:v>SPY</c:v>
                </c:pt>
                <c:pt idx="1">
                  <c:v>VOO</c:v>
                </c:pt>
                <c:pt idx="2">
                  <c:v>IVV</c:v>
                </c:pt>
                <c:pt idx="3">
                  <c:v>VTI</c:v>
                </c:pt>
                <c:pt idx="4">
                  <c:v>JNJ</c:v>
                </c:pt>
              </c:strCache>
            </c:strRef>
          </c:cat>
          <c:val>
            <c:numRef>
              <c:f>Output!$R$38:$R$42</c:f>
              <c:numCache>
                <c:formatCode>"$"#,##0.00;\-"$"#,##0.00</c:formatCode>
                <c:ptCount val="5"/>
                <c:pt idx="0">
                  <c:v>43.87</c:v>
                </c:pt>
                <c:pt idx="1">
                  <c:v>9.5299999999999994</c:v>
                </c:pt>
                <c:pt idx="2">
                  <c:v>0.61</c:v>
                </c:pt>
                <c:pt idx="3">
                  <c:v>0.56000000000000005</c:v>
                </c:pt>
                <c:pt idx="4">
                  <c:v>-1.43</c:v>
                </c:pt>
              </c:numCache>
            </c:numRef>
          </c:val>
          <c:extLst>
            <c:ext xmlns:c16="http://schemas.microsoft.com/office/drawing/2014/chart" uri="{C3380CC4-5D6E-409C-BE32-E72D297353CC}">
              <c16:uniqueId val="{00000001-AA90-4EE6-90A5-718996FD4148}"/>
            </c:ext>
          </c:extLst>
        </c:ser>
        <c:dLbls>
          <c:showLegendKey val="0"/>
          <c:showVal val="0"/>
          <c:showCatName val="0"/>
          <c:showSerName val="0"/>
          <c:showPercent val="0"/>
          <c:showBubbleSize val="0"/>
        </c:dLbls>
        <c:gapWidth val="150"/>
        <c:axId val="2122826959"/>
        <c:axId val="2122828623"/>
      </c:barChart>
      <c:catAx>
        <c:axId val="2122826959"/>
        <c:scaling>
          <c:orientation val="minMax"/>
        </c:scaling>
        <c:delete val="0"/>
        <c:axPos val="l"/>
        <c:title>
          <c:tx>
            <c:rich>
              <a:bodyPr/>
              <a:lstStyle/>
              <a:p>
                <a:pPr>
                  <a:defRPr/>
                </a:pPr>
                <a:r>
                  <a:rPr lang="en-CA"/>
                  <a:t>Stock</a:t>
                </a:r>
              </a:p>
            </c:rich>
          </c:tx>
          <c:overlay val="0"/>
        </c:title>
        <c:numFmt formatCode="General" sourceLinked="1"/>
        <c:majorTickMark val="out"/>
        <c:minorTickMark val="none"/>
        <c:tickLblPos val="nextTo"/>
        <c:crossAx val="2122828623"/>
        <c:crosses val="autoZero"/>
        <c:auto val="1"/>
        <c:lblAlgn val="ctr"/>
        <c:lblOffset val="100"/>
        <c:noMultiLvlLbl val="0"/>
      </c:catAx>
      <c:valAx>
        <c:axId val="2122828623"/>
        <c:scaling>
          <c:orientation val="minMax"/>
        </c:scaling>
        <c:delete val="0"/>
        <c:axPos val="b"/>
        <c:majorGridlines/>
        <c:title>
          <c:tx>
            <c:rich>
              <a:bodyPr/>
              <a:lstStyle/>
              <a:p>
                <a:pPr>
                  <a:defRPr/>
                </a:pPr>
                <a:r>
                  <a:rPr lang="en-CA"/>
                  <a:t>Amount Gained/Lost</a:t>
                </a:r>
              </a:p>
            </c:rich>
          </c:tx>
          <c:overlay val="0"/>
        </c:title>
        <c:numFmt formatCode="General" sourceLinked="1"/>
        <c:majorTickMark val="out"/>
        <c:minorTickMark val="none"/>
        <c:tickLblPos val="nextTo"/>
        <c:crossAx val="212282695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Bar Chart of Investments</a:t>
            </a:r>
          </a:p>
        </c:rich>
      </c:tx>
      <c:overlay val="0"/>
    </c:title>
    <c:autoTitleDeleted val="0"/>
    <c:plotArea>
      <c:layout/>
      <c:barChart>
        <c:barDir val="bar"/>
        <c:grouping val="clustered"/>
        <c:varyColors val="0"/>
        <c:ser>
          <c:idx val="0"/>
          <c:order val="0"/>
          <c:tx>
            <c:strRef>
              <c:f>Output!$R$37</c:f>
              <c:strCache>
                <c:ptCount val="1"/>
                <c:pt idx="0">
                  <c:v>gains/loss</c:v>
                </c:pt>
              </c:strCache>
            </c:strRef>
          </c:tx>
          <c:invertIfNegative val="0"/>
          <c:cat>
            <c:strRef>
              <c:f>Output!$Q$38:$Q$42</c:f>
              <c:strCache>
                <c:ptCount val="5"/>
                <c:pt idx="0">
                  <c:v>SPY</c:v>
                </c:pt>
                <c:pt idx="1">
                  <c:v>VOO</c:v>
                </c:pt>
                <c:pt idx="2">
                  <c:v>IVV</c:v>
                </c:pt>
                <c:pt idx="3">
                  <c:v>VTI</c:v>
                </c:pt>
                <c:pt idx="4">
                  <c:v>JNJ</c:v>
                </c:pt>
              </c:strCache>
            </c:strRef>
          </c:cat>
          <c:val>
            <c:numRef>
              <c:f>Output!$R$38:$R$42</c:f>
              <c:numCache>
                <c:formatCode>"$"#,##0.00;\-"$"#,##0.00</c:formatCode>
                <c:ptCount val="5"/>
                <c:pt idx="0">
                  <c:v>43.87</c:v>
                </c:pt>
                <c:pt idx="1">
                  <c:v>9.5299999999999994</c:v>
                </c:pt>
                <c:pt idx="2">
                  <c:v>0.61</c:v>
                </c:pt>
                <c:pt idx="3">
                  <c:v>0.56000000000000005</c:v>
                </c:pt>
                <c:pt idx="4">
                  <c:v>-1.43</c:v>
                </c:pt>
              </c:numCache>
            </c:numRef>
          </c:val>
          <c:extLst>
            <c:ext xmlns:c16="http://schemas.microsoft.com/office/drawing/2014/chart" uri="{C3380CC4-5D6E-409C-BE32-E72D297353CC}">
              <c16:uniqueId val="{00000000-7C81-4668-8310-CC28A6FDA54F}"/>
            </c:ext>
          </c:extLst>
        </c:ser>
        <c:dLbls>
          <c:showLegendKey val="0"/>
          <c:showVal val="0"/>
          <c:showCatName val="0"/>
          <c:showSerName val="0"/>
          <c:showPercent val="0"/>
          <c:showBubbleSize val="0"/>
        </c:dLbls>
        <c:gapWidth val="150"/>
        <c:axId val="647831871"/>
        <c:axId val="647832287"/>
      </c:barChart>
      <c:catAx>
        <c:axId val="647831871"/>
        <c:scaling>
          <c:orientation val="minMax"/>
        </c:scaling>
        <c:delete val="0"/>
        <c:axPos val="l"/>
        <c:title>
          <c:tx>
            <c:rich>
              <a:bodyPr/>
              <a:lstStyle/>
              <a:p>
                <a:pPr>
                  <a:defRPr/>
                </a:pPr>
                <a:r>
                  <a:rPr lang="en-CA"/>
                  <a:t>Stock</a:t>
                </a:r>
              </a:p>
            </c:rich>
          </c:tx>
          <c:overlay val="0"/>
        </c:title>
        <c:numFmt formatCode="General" sourceLinked="1"/>
        <c:majorTickMark val="out"/>
        <c:minorTickMark val="none"/>
        <c:tickLblPos val="nextTo"/>
        <c:crossAx val="647832287"/>
        <c:crosses val="autoZero"/>
        <c:auto val="1"/>
        <c:lblAlgn val="ctr"/>
        <c:lblOffset val="100"/>
        <c:noMultiLvlLbl val="0"/>
      </c:catAx>
      <c:valAx>
        <c:axId val="647832287"/>
        <c:scaling>
          <c:orientation val="minMax"/>
        </c:scaling>
        <c:delete val="0"/>
        <c:axPos val="b"/>
        <c:majorGridlines/>
        <c:title>
          <c:tx>
            <c:rich>
              <a:bodyPr/>
              <a:lstStyle/>
              <a:p>
                <a:pPr>
                  <a:defRPr/>
                </a:pPr>
                <a:r>
                  <a:rPr lang="en-CA"/>
                  <a:t>Amount Gained/Lost</a:t>
                </a:r>
              </a:p>
            </c:rich>
          </c:tx>
          <c:overlay val="0"/>
        </c:title>
        <c:numFmt formatCode="&quot;$&quot;#,##0.00;\-&quot;$&quot;#,##0.00" sourceLinked="1"/>
        <c:majorTickMark val="out"/>
        <c:minorTickMark val="none"/>
        <c:tickLblPos val="nextTo"/>
        <c:crossAx val="64783187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Bar Chart of Investments</a:t>
            </a:r>
          </a:p>
        </c:rich>
      </c:tx>
      <c:overlay val="0"/>
    </c:title>
    <c:autoTitleDeleted val="0"/>
    <c:plotArea>
      <c:layout/>
      <c:barChart>
        <c:barDir val="bar"/>
        <c:grouping val="clustered"/>
        <c:varyColors val="0"/>
        <c:ser>
          <c:idx val="0"/>
          <c:order val="0"/>
          <c:tx>
            <c:strRef>
              <c:f>Output!$R$37</c:f>
              <c:strCache>
                <c:ptCount val="1"/>
                <c:pt idx="0">
                  <c:v>gains/loss</c:v>
                </c:pt>
              </c:strCache>
            </c:strRef>
          </c:tx>
          <c:invertIfNegative val="0"/>
          <c:cat>
            <c:strRef>
              <c:f>Output!$Q$38:$Q$42</c:f>
              <c:strCache>
                <c:ptCount val="5"/>
                <c:pt idx="0">
                  <c:v>SPY</c:v>
                </c:pt>
                <c:pt idx="1">
                  <c:v>VOO</c:v>
                </c:pt>
                <c:pt idx="2">
                  <c:v>IVV</c:v>
                </c:pt>
                <c:pt idx="3">
                  <c:v>VTI</c:v>
                </c:pt>
                <c:pt idx="4">
                  <c:v>JNJ</c:v>
                </c:pt>
              </c:strCache>
            </c:strRef>
          </c:cat>
          <c:val>
            <c:numRef>
              <c:f>Output!$R$38:$R$42</c:f>
              <c:numCache>
                <c:formatCode>"$"#,##0.00;\-"$"#,##0.00</c:formatCode>
                <c:ptCount val="5"/>
                <c:pt idx="0">
                  <c:v>43.87</c:v>
                </c:pt>
                <c:pt idx="1">
                  <c:v>9.5299999999999994</c:v>
                </c:pt>
                <c:pt idx="2">
                  <c:v>0.61</c:v>
                </c:pt>
                <c:pt idx="3">
                  <c:v>0.56000000000000005</c:v>
                </c:pt>
                <c:pt idx="4">
                  <c:v>-1.43</c:v>
                </c:pt>
              </c:numCache>
            </c:numRef>
          </c:val>
          <c:extLst>
            <c:ext xmlns:c16="http://schemas.microsoft.com/office/drawing/2014/chart" uri="{C3380CC4-5D6E-409C-BE32-E72D297353CC}">
              <c16:uniqueId val="{00000000-FF1A-4139-8F83-84AB0065C200}"/>
            </c:ext>
          </c:extLst>
        </c:ser>
        <c:dLbls>
          <c:showLegendKey val="0"/>
          <c:showVal val="0"/>
          <c:showCatName val="0"/>
          <c:showSerName val="0"/>
          <c:showPercent val="0"/>
          <c:showBubbleSize val="0"/>
        </c:dLbls>
        <c:gapWidth val="150"/>
        <c:axId val="641188863"/>
        <c:axId val="641186783"/>
      </c:barChart>
      <c:catAx>
        <c:axId val="641188863"/>
        <c:scaling>
          <c:orientation val="minMax"/>
        </c:scaling>
        <c:delete val="0"/>
        <c:axPos val="l"/>
        <c:title>
          <c:tx>
            <c:rich>
              <a:bodyPr/>
              <a:lstStyle/>
              <a:p>
                <a:pPr>
                  <a:defRPr/>
                </a:pPr>
                <a:r>
                  <a:rPr lang="en-CA"/>
                  <a:t>Stock</a:t>
                </a:r>
              </a:p>
            </c:rich>
          </c:tx>
          <c:overlay val="0"/>
        </c:title>
        <c:numFmt formatCode="General" sourceLinked="1"/>
        <c:majorTickMark val="out"/>
        <c:minorTickMark val="none"/>
        <c:tickLblPos val="nextTo"/>
        <c:crossAx val="641186783"/>
        <c:crosses val="autoZero"/>
        <c:auto val="1"/>
        <c:lblAlgn val="ctr"/>
        <c:lblOffset val="100"/>
        <c:noMultiLvlLbl val="0"/>
      </c:catAx>
      <c:valAx>
        <c:axId val="641186783"/>
        <c:scaling>
          <c:orientation val="minMax"/>
        </c:scaling>
        <c:delete val="0"/>
        <c:axPos val="b"/>
        <c:majorGridlines/>
        <c:title>
          <c:tx>
            <c:rich>
              <a:bodyPr/>
              <a:lstStyle/>
              <a:p>
                <a:pPr>
                  <a:defRPr/>
                </a:pPr>
                <a:r>
                  <a:rPr lang="en-CA"/>
                  <a:t>Amount Gained/Lost</a:t>
                </a:r>
              </a:p>
            </c:rich>
          </c:tx>
          <c:overlay val="0"/>
        </c:title>
        <c:numFmt formatCode="&quot;$&quot;#,##0.00;\-&quot;$&quot;#,##0.00" sourceLinked="1"/>
        <c:majorTickMark val="out"/>
        <c:minorTickMark val="none"/>
        <c:tickLblPos val="nextTo"/>
        <c:crossAx val="6411888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Bar Chart of Investments</a:t>
            </a:r>
          </a:p>
        </c:rich>
      </c:tx>
      <c:overlay val="0"/>
    </c:title>
    <c:autoTitleDeleted val="0"/>
    <c:plotArea>
      <c:layout/>
      <c:barChart>
        <c:barDir val="bar"/>
        <c:grouping val="clustered"/>
        <c:varyColors val="0"/>
        <c:ser>
          <c:idx val="0"/>
          <c:order val="0"/>
          <c:tx>
            <c:strRef>
              <c:f>Output!$R$37</c:f>
              <c:strCache>
                <c:ptCount val="1"/>
                <c:pt idx="0">
                  <c:v>gains/loss</c:v>
                </c:pt>
              </c:strCache>
            </c:strRef>
          </c:tx>
          <c:invertIfNegative val="0"/>
          <c:cat>
            <c:strRef>
              <c:f>Output!$Q$38:$Q$42</c:f>
              <c:strCache>
                <c:ptCount val="5"/>
                <c:pt idx="0">
                  <c:v>SPY</c:v>
                </c:pt>
                <c:pt idx="1">
                  <c:v>VOO</c:v>
                </c:pt>
                <c:pt idx="2">
                  <c:v>IVV</c:v>
                </c:pt>
                <c:pt idx="3">
                  <c:v>VTI</c:v>
                </c:pt>
                <c:pt idx="4">
                  <c:v>JNJ</c:v>
                </c:pt>
              </c:strCache>
            </c:strRef>
          </c:cat>
          <c:val>
            <c:numRef>
              <c:f>Output!$R$38:$R$42</c:f>
              <c:numCache>
                <c:formatCode>"$"#,##0.00;\-"$"#,##0.00</c:formatCode>
                <c:ptCount val="5"/>
                <c:pt idx="0">
                  <c:v>43.87</c:v>
                </c:pt>
                <c:pt idx="1">
                  <c:v>9.5299999999999994</c:v>
                </c:pt>
                <c:pt idx="2">
                  <c:v>0.61</c:v>
                </c:pt>
                <c:pt idx="3">
                  <c:v>0.56000000000000005</c:v>
                </c:pt>
                <c:pt idx="4">
                  <c:v>-1.43</c:v>
                </c:pt>
              </c:numCache>
            </c:numRef>
          </c:val>
          <c:extLst>
            <c:ext xmlns:c16="http://schemas.microsoft.com/office/drawing/2014/chart" uri="{C3380CC4-5D6E-409C-BE32-E72D297353CC}">
              <c16:uniqueId val="{00000000-E82C-4376-BA4D-E26EE353E8DE}"/>
            </c:ext>
          </c:extLst>
        </c:ser>
        <c:dLbls>
          <c:showLegendKey val="0"/>
          <c:showVal val="0"/>
          <c:showCatName val="0"/>
          <c:showSerName val="0"/>
          <c:showPercent val="0"/>
          <c:showBubbleSize val="0"/>
        </c:dLbls>
        <c:gapWidth val="150"/>
        <c:axId val="337258127"/>
        <c:axId val="337260623"/>
      </c:barChart>
      <c:catAx>
        <c:axId val="337258127"/>
        <c:scaling>
          <c:orientation val="minMax"/>
        </c:scaling>
        <c:delete val="0"/>
        <c:axPos val="l"/>
        <c:title>
          <c:tx>
            <c:rich>
              <a:bodyPr/>
              <a:lstStyle/>
              <a:p>
                <a:pPr>
                  <a:defRPr/>
                </a:pPr>
                <a:r>
                  <a:rPr lang="en-CA"/>
                  <a:t>Stock</a:t>
                </a:r>
              </a:p>
            </c:rich>
          </c:tx>
          <c:overlay val="0"/>
        </c:title>
        <c:numFmt formatCode="General" sourceLinked="1"/>
        <c:majorTickMark val="out"/>
        <c:minorTickMark val="none"/>
        <c:tickLblPos val="nextTo"/>
        <c:crossAx val="337260623"/>
        <c:crosses val="autoZero"/>
        <c:auto val="1"/>
        <c:lblAlgn val="ctr"/>
        <c:lblOffset val="100"/>
        <c:noMultiLvlLbl val="0"/>
      </c:catAx>
      <c:valAx>
        <c:axId val="337260623"/>
        <c:scaling>
          <c:orientation val="minMax"/>
        </c:scaling>
        <c:delete val="0"/>
        <c:axPos val="b"/>
        <c:majorGridlines/>
        <c:title>
          <c:tx>
            <c:rich>
              <a:bodyPr/>
              <a:lstStyle/>
              <a:p>
                <a:pPr>
                  <a:defRPr/>
                </a:pPr>
                <a:r>
                  <a:rPr lang="en-CA"/>
                  <a:t>Amount Gained/Lost</a:t>
                </a:r>
              </a:p>
            </c:rich>
          </c:tx>
          <c:overlay val="0"/>
        </c:title>
        <c:numFmt formatCode="&quot;$&quot;#,##0.00;\-&quot;$&quot;#,##0.00" sourceLinked="1"/>
        <c:majorTickMark val="out"/>
        <c:minorTickMark val="none"/>
        <c:tickLblPos val="nextTo"/>
        <c:crossAx val="33725812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Expense Breakdown by Category</a:t>
            </a:r>
          </a:p>
        </c:rich>
      </c:tx>
      <c:overlay val="0"/>
    </c:title>
    <c:autoTitleDeleted val="0"/>
    <c:plotArea>
      <c:layout/>
      <c:pieChart>
        <c:varyColors val="1"/>
        <c:ser>
          <c:idx val="0"/>
          <c:order val="0"/>
          <c:tx>
            <c:strRef>
              <c:f>Output!$U$1</c:f>
              <c:strCache>
                <c:ptCount val="1"/>
              </c:strCache>
            </c:strRef>
          </c:tx>
          <c:cat>
            <c:strLit>
              <c:ptCount val="4"/>
              <c:pt idx="1">
                <c:v>Bills</c:v>
              </c:pt>
              <c:pt idx="2">
                <c:v>Shopping</c:v>
              </c:pt>
              <c:pt idx="3">
                <c:v>Entertainment</c:v>
              </c:pt>
            </c:strLit>
          </c:cat>
          <c:val>
            <c:numLit>
              <c:formatCode>General</c:formatCode>
              <c:ptCount val="4"/>
              <c:pt idx="0">
                <c:v>0</c:v>
              </c:pt>
              <c:pt idx="1">
                <c:v>100</c:v>
              </c:pt>
              <c:pt idx="2">
                <c:v>200</c:v>
              </c:pt>
              <c:pt idx="3">
                <c:v>100</c:v>
              </c:pt>
            </c:numLit>
          </c:val>
          <c:extLst>
            <c:ext xmlns:c16="http://schemas.microsoft.com/office/drawing/2014/chart" uri="{C3380CC4-5D6E-409C-BE32-E72D297353CC}">
              <c16:uniqueId val="{00000000-47AF-4448-9C96-D59279BF7B9D}"/>
            </c:ext>
          </c:extLst>
        </c:ser>
        <c:ser>
          <c:idx val="1"/>
          <c:order val="1"/>
          <c:extLst>
            <c:ext xmlns:c16="http://schemas.microsoft.com/office/drawing/2014/chart" uri="{C3380CC4-5D6E-409C-BE32-E72D297353CC}">
              <c16:uniqueId val="{00000001-47AF-4448-9C96-D59279BF7B9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Expense Breakdown by Category</a:t>
            </a:r>
          </a:p>
        </c:rich>
      </c:tx>
      <c:overlay val="0"/>
    </c:title>
    <c:autoTitleDeleted val="0"/>
    <c:plotArea>
      <c:layout/>
      <c:pieChart>
        <c:varyColors val="1"/>
        <c:ser>
          <c:idx val="0"/>
          <c:order val="0"/>
          <c:tx>
            <c:strRef>
              <c:f>Output!$U$1</c:f>
              <c:strCache>
                <c:ptCount val="1"/>
              </c:strCache>
            </c:strRef>
          </c:tx>
          <c:cat>
            <c:strLit>
              <c:ptCount val="4"/>
              <c:pt idx="1">
                <c:v>Bills</c:v>
              </c:pt>
              <c:pt idx="2">
                <c:v>Shopping</c:v>
              </c:pt>
              <c:pt idx="3">
                <c:v>Entertainment</c:v>
              </c:pt>
            </c:strLit>
          </c:cat>
          <c:val>
            <c:numLit>
              <c:formatCode>General</c:formatCode>
              <c:ptCount val="4"/>
              <c:pt idx="0">
                <c:v>0</c:v>
              </c:pt>
              <c:pt idx="1">
                <c:v>100</c:v>
              </c:pt>
              <c:pt idx="2">
                <c:v>200</c:v>
              </c:pt>
              <c:pt idx="3">
                <c:v>100</c:v>
              </c:pt>
            </c:numLit>
          </c:val>
          <c:extLst>
            <c:ext xmlns:c16="http://schemas.microsoft.com/office/drawing/2014/chart" uri="{C3380CC4-5D6E-409C-BE32-E72D297353CC}">
              <c16:uniqueId val="{00000000-04CB-4489-A572-7754D6D573E0}"/>
            </c:ext>
          </c:extLst>
        </c:ser>
        <c:ser>
          <c:idx val="1"/>
          <c:order val="1"/>
          <c:extLst>
            <c:ext xmlns:c16="http://schemas.microsoft.com/office/drawing/2014/chart" uri="{C3380CC4-5D6E-409C-BE32-E72D297353CC}">
              <c16:uniqueId val="{00000001-04CB-4489-A572-7754D6D573E0}"/>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Expense Breakdown by Category</a:t>
            </a:r>
          </a:p>
        </c:rich>
      </c:tx>
      <c:overlay val="0"/>
    </c:title>
    <c:autoTitleDeleted val="0"/>
    <c:plotArea>
      <c:layout/>
      <c:pieChart>
        <c:varyColors val="1"/>
        <c:ser>
          <c:idx val="0"/>
          <c:order val="0"/>
          <c:tx>
            <c:strRef>
              <c:f>Output!$U$1</c:f>
              <c:strCache>
                <c:ptCount val="1"/>
              </c:strCache>
            </c:strRef>
          </c:tx>
          <c:cat>
            <c:strLit>
              <c:ptCount val="4"/>
              <c:pt idx="1">
                <c:v>Bills</c:v>
              </c:pt>
              <c:pt idx="2">
                <c:v>Shopping</c:v>
              </c:pt>
              <c:pt idx="3">
                <c:v>Entertainment</c:v>
              </c:pt>
            </c:strLit>
          </c:cat>
          <c:val>
            <c:numLit>
              <c:formatCode>General</c:formatCode>
              <c:ptCount val="4"/>
              <c:pt idx="0">
                <c:v>0</c:v>
              </c:pt>
              <c:pt idx="1">
                <c:v>100</c:v>
              </c:pt>
              <c:pt idx="2">
                <c:v>200</c:v>
              </c:pt>
              <c:pt idx="3">
                <c:v>100</c:v>
              </c:pt>
            </c:numLit>
          </c:val>
          <c:extLst>
            <c:ext xmlns:c16="http://schemas.microsoft.com/office/drawing/2014/chart" uri="{C3380CC4-5D6E-409C-BE32-E72D297353CC}">
              <c16:uniqueId val="{00000000-EC08-4D0A-8A43-D419F1CB632B}"/>
            </c:ext>
          </c:extLst>
        </c:ser>
        <c:ser>
          <c:idx val="1"/>
          <c:order val="1"/>
          <c:extLst>
            <c:ext xmlns:c16="http://schemas.microsoft.com/office/drawing/2014/chart" uri="{C3380CC4-5D6E-409C-BE32-E72D297353CC}">
              <c16:uniqueId val="{00000001-EC08-4D0A-8A43-D419F1CB632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Expense Breakdown by Category</a:t>
            </a:r>
          </a:p>
        </c:rich>
      </c:tx>
      <c:overlay val="0"/>
    </c:title>
    <c:autoTitleDeleted val="0"/>
    <c:plotArea>
      <c:layout/>
      <c:pieChart>
        <c:varyColors val="1"/>
        <c:ser>
          <c:idx val="0"/>
          <c:order val="0"/>
          <c:tx>
            <c:strRef>
              <c:f>Output!$U$1</c:f>
              <c:strCache>
                <c:ptCount val="1"/>
              </c:strCache>
            </c:strRef>
          </c:tx>
          <c:cat>
            <c:strLit>
              <c:ptCount val="4"/>
              <c:pt idx="1">
                <c:v>Bills</c:v>
              </c:pt>
              <c:pt idx="2">
                <c:v>Shopping</c:v>
              </c:pt>
              <c:pt idx="3">
                <c:v>Entertainment</c:v>
              </c:pt>
            </c:strLit>
          </c:cat>
          <c:val>
            <c:numLit>
              <c:formatCode>General</c:formatCode>
              <c:ptCount val="4"/>
              <c:pt idx="0">
                <c:v>0</c:v>
              </c:pt>
              <c:pt idx="1">
                <c:v>100</c:v>
              </c:pt>
              <c:pt idx="2">
                <c:v>300</c:v>
              </c:pt>
              <c:pt idx="3">
                <c:v>100</c:v>
              </c:pt>
            </c:numLit>
          </c:val>
          <c:extLst>
            <c:ext xmlns:c16="http://schemas.microsoft.com/office/drawing/2014/chart" uri="{C3380CC4-5D6E-409C-BE32-E72D297353CC}">
              <c16:uniqueId val="{00000000-E803-4484-A1C8-4771D18BA90E}"/>
            </c:ext>
          </c:extLst>
        </c:ser>
        <c:ser>
          <c:idx val="1"/>
          <c:order val="1"/>
          <c:extLst>
            <c:ext xmlns:c16="http://schemas.microsoft.com/office/drawing/2014/chart" uri="{C3380CC4-5D6E-409C-BE32-E72D297353CC}">
              <c16:uniqueId val="{00000001-E803-4484-A1C8-4771D18BA90E}"/>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Income vs Spending Over Time</a:t>
            </a:r>
          </a:p>
        </c:rich>
      </c:tx>
      <c:overlay val="0"/>
    </c:title>
    <c:autoTitleDeleted val="0"/>
    <c:plotArea>
      <c:layout/>
      <c:lineChart>
        <c:grouping val="standard"/>
        <c:varyColors val="0"/>
        <c:ser>
          <c:idx val="0"/>
          <c:order val="0"/>
          <c:tx>
            <c:v>Spending</c:v>
          </c:tx>
          <c:marker>
            <c:symbol val="none"/>
          </c:marker>
          <c:cat>
            <c:strLit>
              <c:ptCount val="5"/>
              <c:pt idx="0">
                <c:v>12/1/2025</c:v>
              </c:pt>
              <c:pt idx="1">
                <c:v>12/1/2024</c:v>
              </c:pt>
              <c:pt idx="2">
                <c:v>12/12/2024</c:v>
              </c:pt>
              <c:pt idx="3">
                <c:v>10/12/2024</c:v>
              </c:pt>
              <c:pt idx="4">
                <c:v>2/12/2025</c:v>
              </c:pt>
            </c:strLit>
          </c:cat>
          <c:val>
            <c:numLit>
              <c:formatCode>General</c:formatCode>
              <c:ptCount val="5"/>
              <c:pt idx="0">
                <c:v>100</c:v>
              </c:pt>
              <c:pt idx="1">
                <c:v>200</c:v>
              </c:pt>
              <c:pt idx="2">
                <c:v>100</c:v>
              </c:pt>
              <c:pt idx="3">
                <c:v>100</c:v>
              </c:pt>
              <c:pt idx="4">
                <c:v>0</c:v>
              </c:pt>
            </c:numLit>
          </c:val>
          <c:smooth val="0"/>
          <c:extLst>
            <c:ext xmlns:c16="http://schemas.microsoft.com/office/drawing/2014/chart" uri="{C3380CC4-5D6E-409C-BE32-E72D297353CC}">
              <c16:uniqueId val="{00000000-C47A-421B-A99E-2DC7A7D079A6}"/>
            </c:ext>
          </c:extLst>
        </c:ser>
        <c:ser>
          <c:idx val="1"/>
          <c:order val="1"/>
          <c:tx>
            <c:v>Income</c:v>
          </c:tx>
          <c:marker>
            <c:symbol val="none"/>
          </c:marker>
          <c:cat>
            <c:strLit>
              <c:ptCount val="5"/>
              <c:pt idx="0">
                <c:v>12/1/2025</c:v>
              </c:pt>
              <c:pt idx="1">
                <c:v>12/1/2024</c:v>
              </c:pt>
              <c:pt idx="2">
                <c:v>12/12/2024</c:v>
              </c:pt>
              <c:pt idx="3">
                <c:v>10/12/2024</c:v>
              </c:pt>
              <c:pt idx="4">
                <c:v>2/12/2025</c:v>
              </c:pt>
            </c:strLit>
          </c:cat>
          <c:val>
            <c:numLit>
              <c:formatCode>General</c:formatCode>
              <c:ptCount val="5"/>
              <c:pt idx="0">
                <c:v>0</c:v>
              </c:pt>
              <c:pt idx="1">
                <c:v>0</c:v>
              </c:pt>
              <c:pt idx="2">
                <c:v>0</c:v>
              </c:pt>
              <c:pt idx="3">
                <c:v>0</c:v>
              </c:pt>
              <c:pt idx="4">
                <c:v>100</c:v>
              </c:pt>
            </c:numLit>
          </c:val>
          <c:smooth val="0"/>
          <c:extLst>
            <c:ext xmlns:c16="http://schemas.microsoft.com/office/drawing/2014/chart" uri="{C3380CC4-5D6E-409C-BE32-E72D297353CC}">
              <c16:uniqueId val="{00000001-C47A-421B-A99E-2DC7A7D079A6}"/>
            </c:ext>
          </c:extLst>
        </c:ser>
        <c:dLbls>
          <c:showLegendKey val="0"/>
          <c:showVal val="0"/>
          <c:showCatName val="0"/>
          <c:showSerName val="0"/>
          <c:showPercent val="0"/>
          <c:showBubbleSize val="0"/>
        </c:dLbls>
        <c:smooth val="0"/>
        <c:axId val="1416712815"/>
        <c:axId val="1416713231"/>
      </c:lineChart>
      <c:catAx>
        <c:axId val="1416712815"/>
        <c:scaling>
          <c:orientation val="minMax"/>
        </c:scaling>
        <c:delete val="0"/>
        <c:axPos val="b"/>
        <c:title>
          <c:tx>
            <c:rich>
              <a:bodyPr/>
              <a:lstStyle/>
              <a:p>
                <a:pPr>
                  <a:defRPr/>
                </a:pPr>
                <a:r>
                  <a:rPr lang="en-CA"/>
                  <a:t>Date</a:t>
                </a:r>
              </a:p>
            </c:rich>
          </c:tx>
          <c:overlay val="0"/>
        </c:title>
        <c:numFmt formatCode="General" sourceLinked="1"/>
        <c:majorTickMark val="out"/>
        <c:minorTickMark val="none"/>
        <c:tickLblPos val="nextTo"/>
        <c:crossAx val="1416713231"/>
        <c:crosses val="autoZero"/>
        <c:auto val="1"/>
        <c:lblAlgn val="ctr"/>
        <c:lblOffset val="100"/>
        <c:noMultiLvlLbl val="0"/>
      </c:catAx>
      <c:valAx>
        <c:axId val="1416713231"/>
        <c:scaling>
          <c:orientation val="minMax"/>
        </c:scaling>
        <c:delete val="0"/>
        <c:axPos val="l"/>
        <c:majorGridlines/>
        <c:title>
          <c:tx>
            <c:rich>
              <a:bodyPr/>
              <a:lstStyle/>
              <a:p>
                <a:pPr>
                  <a:defRPr/>
                </a:pPr>
                <a:r>
                  <a:rPr lang="en-CA"/>
                  <a:t>Amount</a:t>
                </a:r>
              </a:p>
            </c:rich>
          </c:tx>
          <c:overlay val="0"/>
        </c:title>
        <c:numFmt formatCode="General" sourceLinked="1"/>
        <c:majorTickMark val="out"/>
        <c:minorTickMark val="none"/>
        <c:tickLblPos val="nextTo"/>
        <c:crossAx val="141671281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Bar Chart of Investments</a:t>
            </a:r>
          </a:p>
        </c:rich>
      </c:tx>
      <c:overlay val="0"/>
    </c:title>
    <c:autoTitleDeleted val="0"/>
    <c:plotArea>
      <c:layout/>
      <c:barChart>
        <c:barDir val="bar"/>
        <c:grouping val="clustered"/>
        <c:varyColors val="0"/>
        <c:ser>
          <c:idx val="0"/>
          <c:order val="0"/>
          <c:invertIfNegative val="0"/>
          <c:cat>
            <c:strRef>
              <c:f>Output!$Q$38:$Q$42</c:f>
              <c:strCache>
                <c:ptCount val="5"/>
                <c:pt idx="0">
                  <c:v>SPY</c:v>
                </c:pt>
                <c:pt idx="1">
                  <c:v>VOO</c:v>
                </c:pt>
                <c:pt idx="2">
                  <c:v>IVV</c:v>
                </c:pt>
                <c:pt idx="3">
                  <c:v>VTI</c:v>
                </c:pt>
                <c:pt idx="4">
                  <c:v>JNJ</c:v>
                </c:pt>
              </c:strCache>
            </c:strRef>
          </c:cat>
          <c:val>
            <c:numRef>
              <c:f>Output!$R$38:$R$42</c:f>
              <c:numCache>
                <c:formatCode>"$"#,##0.00;\-"$"#,##0.00</c:formatCode>
                <c:ptCount val="5"/>
                <c:pt idx="0">
                  <c:v>43.87</c:v>
                </c:pt>
                <c:pt idx="1">
                  <c:v>9.5299999999999994</c:v>
                </c:pt>
                <c:pt idx="2">
                  <c:v>0.61</c:v>
                </c:pt>
                <c:pt idx="3">
                  <c:v>0.56000000000000005</c:v>
                </c:pt>
                <c:pt idx="4">
                  <c:v>-1.43</c:v>
                </c:pt>
              </c:numCache>
            </c:numRef>
          </c:val>
          <c:extLst>
            <c:ext xmlns:c16="http://schemas.microsoft.com/office/drawing/2014/chart" uri="{C3380CC4-5D6E-409C-BE32-E72D297353CC}">
              <c16:uniqueId val="{00000000-C8FF-4AA7-8744-E9BA28C1C76E}"/>
            </c:ext>
          </c:extLst>
        </c:ser>
        <c:dLbls>
          <c:showLegendKey val="0"/>
          <c:showVal val="0"/>
          <c:showCatName val="0"/>
          <c:showSerName val="0"/>
          <c:showPercent val="0"/>
          <c:showBubbleSize val="0"/>
        </c:dLbls>
        <c:gapWidth val="150"/>
        <c:axId val="96541264"/>
        <c:axId val="96542512"/>
      </c:barChart>
      <c:catAx>
        <c:axId val="96541264"/>
        <c:scaling>
          <c:orientation val="minMax"/>
        </c:scaling>
        <c:delete val="0"/>
        <c:axPos val="l"/>
        <c:title>
          <c:tx>
            <c:rich>
              <a:bodyPr/>
              <a:lstStyle/>
              <a:p>
                <a:pPr>
                  <a:defRPr/>
                </a:pPr>
                <a:r>
                  <a:rPr lang="en-CA"/>
                  <a:t>Stock</a:t>
                </a:r>
              </a:p>
            </c:rich>
          </c:tx>
          <c:overlay val="0"/>
        </c:title>
        <c:numFmt formatCode="General" sourceLinked="1"/>
        <c:majorTickMark val="out"/>
        <c:minorTickMark val="none"/>
        <c:tickLblPos val="nextTo"/>
        <c:crossAx val="96542512"/>
        <c:crosses val="autoZero"/>
        <c:auto val="1"/>
        <c:lblAlgn val="ctr"/>
        <c:lblOffset val="100"/>
        <c:noMultiLvlLbl val="0"/>
      </c:catAx>
      <c:valAx>
        <c:axId val="96542512"/>
        <c:scaling>
          <c:orientation val="minMax"/>
        </c:scaling>
        <c:delete val="0"/>
        <c:axPos val="b"/>
        <c:majorGridlines/>
        <c:title>
          <c:tx>
            <c:rich>
              <a:bodyPr/>
              <a:lstStyle/>
              <a:p>
                <a:pPr>
                  <a:defRPr/>
                </a:pPr>
                <a:r>
                  <a:rPr lang="en-CA"/>
                  <a:t>Amount Gained/Lost</a:t>
                </a:r>
              </a:p>
            </c:rich>
          </c:tx>
          <c:overlay val="0"/>
        </c:title>
        <c:numFmt formatCode="&quot;$&quot;#,##0.00;\-&quot;$&quot;#,##0.00" sourceLinked="1"/>
        <c:majorTickMark val="out"/>
        <c:minorTickMark val="none"/>
        <c:tickLblPos val="nextTo"/>
        <c:crossAx val="9654126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image" Target="../media/image6.svg"/><Relationship Id="rId18" Type="http://schemas.openxmlformats.org/officeDocument/2006/relationships/chart" Target="../charts/chart10.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image" Target="../media/image5.png"/><Relationship Id="rId17" Type="http://schemas.openxmlformats.org/officeDocument/2006/relationships/chart" Target="../charts/chart9.xml"/><Relationship Id="rId2" Type="http://schemas.openxmlformats.org/officeDocument/2006/relationships/chart" Target="../charts/chart2.xml"/><Relationship Id="rId16" Type="http://schemas.openxmlformats.org/officeDocument/2006/relationships/chart" Target="../charts/chart8.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4.svg"/><Relationship Id="rId5" Type="http://schemas.openxmlformats.org/officeDocument/2006/relationships/chart" Target="../charts/chart5.xml"/><Relationship Id="rId15" Type="http://schemas.openxmlformats.org/officeDocument/2006/relationships/image" Target="../media/image8.svg"/><Relationship Id="rId10" Type="http://schemas.openxmlformats.org/officeDocument/2006/relationships/image" Target="../media/image3.png"/><Relationship Id="rId19" Type="http://schemas.openxmlformats.org/officeDocument/2006/relationships/chart" Target="../charts/chart11.xml"/><Relationship Id="rId4" Type="http://schemas.openxmlformats.org/officeDocument/2006/relationships/chart" Target="../charts/chart4.xml"/><Relationship Id="rId9" Type="http://schemas.openxmlformats.org/officeDocument/2006/relationships/image" Target="../media/image2.svg"/><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17</xdr:col>
      <xdr:colOff>581025</xdr:colOff>
      <xdr:row>29</xdr:row>
      <xdr:rowOff>28575</xdr:rowOff>
    </xdr:from>
    <xdr:to>
      <xdr:col>22</xdr:col>
      <xdr:colOff>152400</xdr:colOff>
      <xdr:row>32</xdr:row>
      <xdr:rowOff>142875</xdr:rowOff>
    </xdr:to>
    <xdr:sp macro="[0]!CreatePieChart" textlink="">
      <xdr:nvSpPr>
        <xdr:cNvPr id="8" name="Rectangle: Rounded Corners 7">
          <a:extLst>
            <a:ext uri="{FF2B5EF4-FFF2-40B4-BE49-F238E27FC236}">
              <a16:creationId xmlns:a16="http://schemas.microsoft.com/office/drawing/2014/main" id="{00000000-0008-0000-0000-000008000000}"/>
            </a:ext>
          </a:extLst>
        </xdr:cNvPr>
        <xdr:cNvSpPr/>
      </xdr:nvSpPr>
      <xdr:spPr>
        <a:xfrm>
          <a:off x="15306675" y="6486525"/>
          <a:ext cx="3333750" cy="685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a:p>
          <a:pPr algn="l"/>
          <a:r>
            <a:rPr lang="en-CA" sz="1400" baseline="0">
              <a:latin typeface="Century" panose="02040604050505020304" pitchFamily="18" charset="0"/>
            </a:rPr>
            <a:t>           </a:t>
          </a:r>
          <a:r>
            <a:rPr lang="en-CA" sz="1400">
              <a:latin typeface="Century" panose="02040604050505020304" pitchFamily="18" charset="0"/>
            </a:rPr>
            <a:t>Show Expense breakdown</a:t>
          </a:r>
        </a:p>
      </xdr:txBody>
    </xdr:sp>
    <xdr:clientData/>
  </xdr:twoCellAnchor>
  <xdr:twoCellAnchor>
    <xdr:from>
      <xdr:col>3</xdr:col>
      <xdr:colOff>542925</xdr:colOff>
      <xdr:row>29</xdr:row>
      <xdr:rowOff>19050</xdr:rowOff>
    </xdr:from>
    <xdr:to>
      <xdr:col>8</xdr:col>
      <xdr:colOff>114300</xdr:colOff>
      <xdr:row>32</xdr:row>
      <xdr:rowOff>133350</xdr:rowOff>
    </xdr:to>
    <xdr:sp macro="[0]!ShowLineGraph" textlink="">
      <xdr:nvSpPr>
        <xdr:cNvPr id="27" name="Rectangle: Rounded Corners 26">
          <a:extLst>
            <a:ext uri="{FF2B5EF4-FFF2-40B4-BE49-F238E27FC236}">
              <a16:creationId xmlns:a16="http://schemas.microsoft.com/office/drawing/2014/main" id="{00000000-0008-0000-0000-00001B000000}"/>
            </a:ext>
          </a:extLst>
        </xdr:cNvPr>
        <xdr:cNvSpPr/>
      </xdr:nvSpPr>
      <xdr:spPr>
        <a:xfrm>
          <a:off x="4543425" y="6477000"/>
          <a:ext cx="3333750" cy="685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a:p>
          <a:pPr algn="l"/>
          <a:r>
            <a:rPr lang="en-CA" sz="1400" baseline="0">
              <a:latin typeface="Century" panose="02040604050505020304" pitchFamily="18" charset="0"/>
            </a:rPr>
            <a:t>           </a:t>
          </a:r>
          <a:r>
            <a:rPr lang="en-CA" sz="1400">
              <a:latin typeface="Century" panose="02040604050505020304" pitchFamily="18" charset="0"/>
            </a:rPr>
            <a:t>Show Income</a:t>
          </a:r>
          <a:r>
            <a:rPr lang="en-CA" sz="1400" baseline="0">
              <a:latin typeface="Century" panose="02040604050505020304" pitchFamily="18" charset="0"/>
            </a:rPr>
            <a:t> vs Spending</a:t>
          </a:r>
          <a:endParaRPr lang="en-CA" sz="1400">
            <a:latin typeface="Century" panose="02040604050505020304" pitchFamily="18" charset="0"/>
          </a:endParaRPr>
        </a:p>
      </xdr:txBody>
    </xdr:sp>
    <xdr:clientData/>
  </xdr:twoCellAnchor>
  <xdr:twoCellAnchor>
    <xdr:from>
      <xdr:col>20</xdr:col>
      <xdr:colOff>0</xdr:colOff>
      <xdr:row>38</xdr:row>
      <xdr:rowOff>0</xdr:rowOff>
    </xdr:from>
    <xdr:to>
      <xdr:col>26</xdr:col>
      <xdr:colOff>469900</xdr:colOff>
      <xdr:row>58</xdr:row>
      <xdr:rowOff>0</xdr:rowOff>
    </xdr:to>
    <xdr:graphicFrame macro="">
      <xdr:nvGraphicFramePr>
        <xdr:cNvPr id="30" name="Chart 29">
          <a:extLst>
            <a:ext uri="{FF2B5EF4-FFF2-40B4-BE49-F238E27FC236}">
              <a16:creationId xmlns:a16="http://schemas.microsoft.com/office/drawing/2014/main" id="{00000000-0008-0000-0000-00001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0</xdr:colOff>
      <xdr:row>38</xdr:row>
      <xdr:rowOff>0</xdr:rowOff>
    </xdr:from>
    <xdr:to>
      <xdr:col>26</xdr:col>
      <xdr:colOff>469900</xdr:colOff>
      <xdr:row>58</xdr:row>
      <xdr:rowOff>0</xdr:rowOff>
    </xdr:to>
    <xdr:graphicFrame macro="">
      <xdr:nvGraphicFramePr>
        <xdr:cNvPr id="31" name="Chart 30">
          <a:extLst>
            <a:ext uri="{FF2B5EF4-FFF2-40B4-BE49-F238E27FC236}">
              <a16:creationId xmlns:a16="http://schemas.microsoft.com/office/drawing/2014/main" id="{00000000-0008-0000-00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0</xdr:colOff>
      <xdr:row>38</xdr:row>
      <xdr:rowOff>0</xdr:rowOff>
    </xdr:from>
    <xdr:to>
      <xdr:col>26</xdr:col>
      <xdr:colOff>469900</xdr:colOff>
      <xdr:row>58</xdr:row>
      <xdr:rowOff>0</xdr:rowOff>
    </xdr:to>
    <xdr:graphicFrame macro="">
      <xdr:nvGraphicFramePr>
        <xdr:cNvPr id="32" name="Chart 31">
          <a:extLst>
            <a:ext uri="{FF2B5EF4-FFF2-40B4-BE49-F238E27FC236}">
              <a16:creationId xmlns:a16="http://schemas.microsoft.com/office/drawing/2014/main" id="{00000000-0008-0000-00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0</xdr:colOff>
      <xdr:row>38</xdr:row>
      <xdr:rowOff>0</xdr:rowOff>
    </xdr:from>
    <xdr:to>
      <xdr:col>26</xdr:col>
      <xdr:colOff>469900</xdr:colOff>
      <xdr:row>58</xdr:row>
      <xdr:rowOff>0</xdr:rowOff>
    </xdr:to>
    <xdr:graphicFrame macro="">
      <xdr:nvGraphicFramePr>
        <xdr:cNvPr id="33" name="Chart 32">
          <a:extLst>
            <a:ext uri="{FF2B5EF4-FFF2-40B4-BE49-F238E27FC236}">
              <a16:creationId xmlns:a16="http://schemas.microsoft.com/office/drawing/2014/main" id="{00000000-0008-0000-00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38</xdr:row>
      <xdr:rowOff>0</xdr:rowOff>
    </xdr:from>
    <xdr:to>
      <xdr:col>26</xdr:col>
      <xdr:colOff>469900</xdr:colOff>
      <xdr:row>58</xdr:row>
      <xdr:rowOff>0</xdr:rowOff>
    </xdr:to>
    <xdr:graphicFrame macro="">
      <xdr:nvGraphicFramePr>
        <xdr:cNvPr id="34" name="Chart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0</xdr:colOff>
      <xdr:row>13</xdr:row>
      <xdr:rowOff>0</xdr:rowOff>
    </xdr:from>
    <xdr:to>
      <xdr:col>22</xdr:col>
      <xdr:colOff>742950</xdr:colOff>
      <xdr:row>28</xdr:row>
      <xdr:rowOff>0</xdr:rowOff>
    </xdr:to>
    <xdr:graphicFrame macro="">
      <xdr:nvGraphicFramePr>
        <xdr:cNvPr id="36" name="Chart 35">
          <a:extLst>
            <a:ext uri="{FF2B5EF4-FFF2-40B4-BE49-F238E27FC236}">
              <a16:creationId xmlns:a16="http://schemas.microsoft.com/office/drawing/2014/main" id="{00000000-0008-0000-0000-00002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0</xdr:colOff>
      <xdr:row>13</xdr:row>
      <xdr:rowOff>0</xdr:rowOff>
    </xdr:from>
    <xdr:to>
      <xdr:col>22</xdr:col>
      <xdr:colOff>742950</xdr:colOff>
      <xdr:row>28</xdr:row>
      <xdr:rowOff>0</xdr:rowOff>
    </xdr:to>
    <xdr:graphicFrame macro="">
      <xdr:nvGraphicFramePr>
        <xdr:cNvPr id="37" name="Chart 36">
          <a:extLst>
            <a:ext uri="{FF2B5EF4-FFF2-40B4-BE49-F238E27FC236}">
              <a16:creationId xmlns:a16="http://schemas.microsoft.com/office/drawing/2014/main" id="{00000000-0008-0000-0000-00002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123824</xdr:colOff>
      <xdr:row>58</xdr:row>
      <xdr:rowOff>95250</xdr:rowOff>
    </xdr:from>
    <xdr:to>
      <xdr:col>25</xdr:col>
      <xdr:colOff>571499</xdr:colOff>
      <xdr:row>62</xdr:row>
      <xdr:rowOff>19050</xdr:rowOff>
    </xdr:to>
    <xdr:sp macro="[0]!GenerateOutputTable" textlink="">
      <xdr:nvSpPr>
        <xdr:cNvPr id="41" name="Rectangle: Rounded Corners 40">
          <a:extLst>
            <a:ext uri="{FF2B5EF4-FFF2-40B4-BE49-F238E27FC236}">
              <a16:creationId xmlns:a16="http://schemas.microsoft.com/office/drawing/2014/main" id="{00000000-0008-0000-0000-000029000000}"/>
            </a:ext>
          </a:extLst>
        </xdr:cNvPr>
        <xdr:cNvSpPr/>
      </xdr:nvSpPr>
      <xdr:spPr>
        <a:xfrm>
          <a:off x="16878299" y="12077700"/>
          <a:ext cx="3552825" cy="685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a:p>
          <a:pPr algn="l"/>
          <a:r>
            <a:rPr lang="en-CA" sz="1400" baseline="0">
              <a:latin typeface="Century" panose="02040604050505020304" pitchFamily="18" charset="0"/>
            </a:rPr>
            <a:t>       Update Stock Chart and Graph</a:t>
          </a:r>
          <a:endParaRPr lang="en-CA" sz="1400">
            <a:latin typeface="Century" panose="02040604050505020304" pitchFamily="18" charset="0"/>
          </a:endParaRPr>
        </a:p>
      </xdr:txBody>
    </xdr:sp>
    <xdr:clientData/>
  </xdr:twoCellAnchor>
  <xdr:twoCellAnchor>
    <xdr:from>
      <xdr:col>3</xdr:col>
      <xdr:colOff>142875</xdr:colOff>
      <xdr:row>36</xdr:row>
      <xdr:rowOff>85726</xdr:rowOff>
    </xdr:from>
    <xdr:to>
      <xdr:col>13</xdr:col>
      <xdr:colOff>257175</xdr:colOff>
      <xdr:row>41</xdr:row>
      <xdr:rowOff>9526</xdr:rowOff>
    </xdr:to>
    <xdr:sp macro="" textlink="">
      <xdr:nvSpPr>
        <xdr:cNvPr id="38" name="Rectangle 37">
          <a:extLst>
            <a:ext uri="{FF2B5EF4-FFF2-40B4-BE49-F238E27FC236}">
              <a16:creationId xmlns:a16="http://schemas.microsoft.com/office/drawing/2014/main" id="{00000000-0008-0000-0000-000026000000}"/>
            </a:ext>
          </a:extLst>
        </xdr:cNvPr>
        <xdr:cNvSpPr/>
      </xdr:nvSpPr>
      <xdr:spPr>
        <a:xfrm>
          <a:off x="4143375" y="7877176"/>
          <a:ext cx="6362700" cy="876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a:p>
          <a:pPr algn="ctr"/>
          <a:r>
            <a:rPr lang="en-CA" sz="3200">
              <a:latin typeface="Century" panose="02040604050505020304" pitchFamily="18" charset="0"/>
            </a:rPr>
            <a:t>Financial Advice/Projections</a:t>
          </a:r>
        </a:p>
      </xdr:txBody>
    </xdr:sp>
    <xdr:clientData/>
  </xdr:twoCellAnchor>
  <xdr:twoCellAnchor>
    <xdr:from>
      <xdr:col>3</xdr:col>
      <xdr:colOff>314325</xdr:colOff>
      <xdr:row>51</xdr:row>
      <xdr:rowOff>123827</xdr:rowOff>
    </xdr:from>
    <xdr:to>
      <xdr:col>6</xdr:col>
      <xdr:colOff>171450</xdr:colOff>
      <xdr:row>54</xdr:row>
      <xdr:rowOff>1</xdr:rowOff>
    </xdr:to>
    <xdr:sp macro="" textlink="">
      <xdr:nvSpPr>
        <xdr:cNvPr id="43" name="Rectangle 42">
          <a:extLst>
            <a:ext uri="{FF2B5EF4-FFF2-40B4-BE49-F238E27FC236}">
              <a16:creationId xmlns:a16="http://schemas.microsoft.com/office/drawing/2014/main" id="{00000000-0008-0000-0000-00002B000000}"/>
            </a:ext>
          </a:extLst>
        </xdr:cNvPr>
        <xdr:cNvSpPr/>
      </xdr:nvSpPr>
      <xdr:spPr>
        <a:xfrm>
          <a:off x="4314825" y="10772777"/>
          <a:ext cx="2114550" cy="447674"/>
        </a:xfrm>
        <a:prstGeom prst="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2000">
              <a:latin typeface="Century" panose="02040604050505020304" pitchFamily="18" charset="0"/>
            </a:rPr>
            <a:t>Goal</a:t>
          </a:r>
          <a:r>
            <a:rPr lang="en-CA" sz="2000" baseline="0">
              <a:latin typeface="Century" panose="02040604050505020304" pitchFamily="18" charset="0"/>
            </a:rPr>
            <a:t> Projections</a:t>
          </a:r>
          <a:endParaRPr lang="en-CA" sz="2000">
            <a:latin typeface="Century" panose="02040604050505020304" pitchFamily="18" charset="0"/>
          </a:endParaRPr>
        </a:p>
      </xdr:txBody>
    </xdr:sp>
    <xdr:clientData/>
  </xdr:twoCellAnchor>
  <xdr:twoCellAnchor>
    <xdr:from>
      <xdr:col>9</xdr:col>
      <xdr:colOff>9525</xdr:colOff>
      <xdr:row>42</xdr:row>
      <xdr:rowOff>1</xdr:rowOff>
    </xdr:from>
    <xdr:to>
      <xdr:col>13</xdr:col>
      <xdr:colOff>238125</xdr:colOff>
      <xdr:row>44</xdr:row>
      <xdr:rowOff>104774</xdr:rowOff>
    </xdr:to>
    <xdr:sp macro="" textlink="">
      <xdr:nvSpPr>
        <xdr:cNvPr id="44" name="Rectangle 43">
          <a:extLst>
            <a:ext uri="{FF2B5EF4-FFF2-40B4-BE49-F238E27FC236}">
              <a16:creationId xmlns:a16="http://schemas.microsoft.com/office/drawing/2014/main" id="{00000000-0008-0000-0000-00002C000000}"/>
            </a:ext>
          </a:extLst>
        </xdr:cNvPr>
        <xdr:cNvSpPr/>
      </xdr:nvSpPr>
      <xdr:spPr>
        <a:xfrm>
          <a:off x="8524875" y="8934451"/>
          <a:ext cx="1962150" cy="485773"/>
        </a:xfrm>
        <a:prstGeom prst="rect">
          <a:avLst/>
        </a:prstGeom>
        <a:solidFill>
          <a:schemeClr val="tx2">
            <a:lumMod val="50000"/>
            <a:lumOff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latin typeface="Century" panose="02040604050505020304" pitchFamily="18" charset="0"/>
            </a:rPr>
            <a:t>Income/Expense</a:t>
          </a:r>
          <a:r>
            <a:rPr lang="en-CA" sz="1200" baseline="0">
              <a:latin typeface="Century" panose="02040604050505020304" pitchFamily="18" charset="0"/>
            </a:rPr>
            <a:t> Managment</a:t>
          </a:r>
          <a:endParaRPr lang="en-CA" sz="1200">
            <a:latin typeface="Century" panose="02040604050505020304" pitchFamily="18" charset="0"/>
          </a:endParaRPr>
        </a:p>
      </xdr:txBody>
    </xdr:sp>
    <xdr:clientData/>
  </xdr:twoCellAnchor>
  <xdr:twoCellAnchor>
    <xdr:from>
      <xdr:col>3</xdr:col>
      <xdr:colOff>352425</xdr:colOff>
      <xdr:row>42</xdr:row>
      <xdr:rowOff>57152</xdr:rowOff>
    </xdr:from>
    <xdr:to>
      <xdr:col>6</xdr:col>
      <xdr:colOff>57150</xdr:colOff>
      <xdr:row>44</xdr:row>
      <xdr:rowOff>123826</xdr:rowOff>
    </xdr:to>
    <xdr:sp macro="" textlink="">
      <xdr:nvSpPr>
        <xdr:cNvPr id="45" name="Rectangle 44">
          <a:extLst>
            <a:ext uri="{FF2B5EF4-FFF2-40B4-BE49-F238E27FC236}">
              <a16:creationId xmlns:a16="http://schemas.microsoft.com/office/drawing/2014/main" id="{00000000-0008-0000-0000-00002D000000}"/>
            </a:ext>
          </a:extLst>
        </xdr:cNvPr>
        <xdr:cNvSpPr/>
      </xdr:nvSpPr>
      <xdr:spPr>
        <a:xfrm>
          <a:off x="4352925" y="8991602"/>
          <a:ext cx="1962150" cy="447674"/>
        </a:xfrm>
        <a:prstGeom prst="rect">
          <a:avLst/>
        </a:prstGeom>
        <a:solidFill>
          <a:schemeClr val="tx2">
            <a:lumMod val="50000"/>
            <a:lumOff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800">
              <a:latin typeface="Century" panose="02040604050505020304" pitchFamily="18" charset="0"/>
            </a:rPr>
            <a:t>Savings</a:t>
          </a:r>
          <a:r>
            <a:rPr lang="en-CA" sz="1800" baseline="0">
              <a:latin typeface="Century" panose="02040604050505020304" pitchFamily="18" charset="0"/>
            </a:rPr>
            <a:t> Advice</a:t>
          </a:r>
          <a:endParaRPr lang="en-CA" sz="1800">
            <a:latin typeface="Century" panose="02040604050505020304" pitchFamily="18" charset="0"/>
          </a:endParaRPr>
        </a:p>
      </xdr:txBody>
    </xdr:sp>
    <xdr:clientData/>
  </xdr:twoCellAnchor>
  <xdr:twoCellAnchor>
    <xdr:from>
      <xdr:col>8</xdr:col>
      <xdr:colOff>695324</xdr:colOff>
      <xdr:row>51</xdr:row>
      <xdr:rowOff>152402</xdr:rowOff>
    </xdr:from>
    <xdr:to>
      <xdr:col>13</xdr:col>
      <xdr:colOff>609600</xdr:colOff>
      <xdr:row>54</xdr:row>
      <xdr:rowOff>28576</xdr:rowOff>
    </xdr:to>
    <xdr:sp macro="" textlink="">
      <xdr:nvSpPr>
        <xdr:cNvPr id="46" name="Rectangle 45">
          <a:extLst>
            <a:ext uri="{FF2B5EF4-FFF2-40B4-BE49-F238E27FC236}">
              <a16:creationId xmlns:a16="http://schemas.microsoft.com/office/drawing/2014/main" id="{00000000-0008-0000-0000-00002E000000}"/>
            </a:ext>
          </a:extLst>
        </xdr:cNvPr>
        <xdr:cNvSpPr/>
      </xdr:nvSpPr>
      <xdr:spPr>
        <a:xfrm>
          <a:off x="8458199" y="10801352"/>
          <a:ext cx="2400301" cy="447674"/>
        </a:xfrm>
        <a:prstGeom prst="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600">
              <a:latin typeface="Century" panose="02040604050505020304" pitchFamily="18" charset="0"/>
            </a:rPr>
            <a:t>Investment</a:t>
          </a:r>
          <a:r>
            <a:rPr lang="en-CA" sz="1600" baseline="0">
              <a:latin typeface="Century" panose="02040604050505020304" pitchFamily="18" charset="0"/>
            </a:rPr>
            <a:t> Projections</a:t>
          </a:r>
          <a:endParaRPr lang="en-CA" sz="1600">
            <a:latin typeface="Century" panose="02040604050505020304" pitchFamily="18" charset="0"/>
          </a:endParaRPr>
        </a:p>
      </xdr:txBody>
    </xdr:sp>
    <xdr:clientData/>
  </xdr:twoCellAnchor>
  <xdr:twoCellAnchor editAs="oneCell">
    <xdr:from>
      <xdr:col>4</xdr:col>
      <xdr:colOff>104775</xdr:colOff>
      <xdr:row>54</xdr:row>
      <xdr:rowOff>152400</xdr:rowOff>
    </xdr:from>
    <xdr:to>
      <xdr:col>5</xdr:col>
      <xdr:colOff>266700</xdr:colOff>
      <xdr:row>59</xdr:row>
      <xdr:rowOff>114300</xdr:rowOff>
    </xdr:to>
    <xdr:pic macro="[0]!ShowGoalProgress">
      <xdr:nvPicPr>
        <xdr:cNvPr id="40" name="Graphic 39" descr="Bullseye with solid fill">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4857750" y="11372850"/>
          <a:ext cx="914400" cy="914400"/>
        </a:xfrm>
        <a:prstGeom prst="rect">
          <a:avLst/>
        </a:prstGeom>
      </xdr:spPr>
    </xdr:pic>
    <xdr:clientData/>
  </xdr:twoCellAnchor>
  <xdr:twoCellAnchor editAs="oneCell">
    <xdr:from>
      <xdr:col>9</xdr:col>
      <xdr:colOff>552450</xdr:colOff>
      <xdr:row>45</xdr:row>
      <xdr:rowOff>66675</xdr:rowOff>
    </xdr:from>
    <xdr:to>
      <xdr:col>12</xdr:col>
      <xdr:colOff>485775</xdr:colOff>
      <xdr:row>50</xdr:row>
      <xdr:rowOff>28575</xdr:rowOff>
    </xdr:to>
    <xdr:pic macro="[0]!ShowIncomeExpense">
      <xdr:nvPicPr>
        <xdr:cNvPr id="47" name="Graphic 46" descr="Coins with solid fill">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67800" y="9572625"/>
          <a:ext cx="914400" cy="914400"/>
        </a:xfrm>
        <a:prstGeom prst="rect">
          <a:avLst/>
        </a:prstGeom>
      </xdr:spPr>
    </xdr:pic>
    <xdr:clientData/>
  </xdr:twoCellAnchor>
  <xdr:twoCellAnchor editAs="oneCell">
    <xdr:from>
      <xdr:col>4</xdr:col>
      <xdr:colOff>95250</xdr:colOff>
      <xdr:row>45</xdr:row>
      <xdr:rowOff>161925</xdr:rowOff>
    </xdr:from>
    <xdr:to>
      <xdr:col>5</xdr:col>
      <xdr:colOff>257175</xdr:colOff>
      <xdr:row>50</xdr:row>
      <xdr:rowOff>123825</xdr:rowOff>
    </xdr:to>
    <xdr:pic macro="[0]!ShowSavingsAnalysis">
      <xdr:nvPicPr>
        <xdr:cNvPr id="49" name="Graphic 48" descr="Bar graph with upward trend with solid fill">
          <a:extLst>
            <a:ext uri="{FF2B5EF4-FFF2-40B4-BE49-F238E27FC236}">
              <a16:creationId xmlns:a16="http://schemas.microsoft.com/office/drawing/2014/main" id="{00000000-0008-0000-0000-000031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4848225" y="9667875"/>
          <a:ext cx="914400" cy="914400"/>
        </a:xfrm>
        <a:prstGeom prst="rect">
          <a:avLst/>
        </a:prstGeom>
      </xdr:spPr>
    </xdr:pic>
    <xdr:clientData/>
  </xdr:twoCellAnchor>
  <xdr:twoCellAnchor editAs="oneCell">
    <xdr:from>
      <xdr:col>9</xdr:col>
      <xdr:colOff>438149</xdr:colOff>
      <xdr:row>54</xdr:row>
      <xdr:rowOff>104774</xdr:rowOff>
    </xdr:from>
    <xdr:to>
      <xdr:col>12</xdr:col>
      <xdr:colOff>571499</xdr:colOff>
      <xdr:row>60</xdr:row>
      <xdr:rowOff>76199</xdr:rowOff>
    </xdr:to>
    <xdr:pic macro="[0]!StockAnalysis">
      <xdr:nvPicPr>
        <xdr:cNvPr id="51" name="Graphic 50" descr="Bank with solid fill">
          <a:extLst>
            <a:ext uri="{FF2B5EF4-FFF2-40B4-BE49-F238E27FC236}">
              <a16:creationId xmlns:a16="http://schemas.microsoft.com/office/drawing/2014/main" id="{00000000-0008-0000-0000-000033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8953499" y="11325224"/>
          <a:ext cx="1114425" cy="1114425"/>
        </a:xfrm>
        <a:prstGeom prst="rect">
          <a:avLst/>
        </a:prstGeom>
      </xdr:spPr>
    </xdr:pic>
    <xdr:clientData/>
  </xdr:twoCellAnchor>
  <xdr:twoCellAnchor>
    <xdr:from>
      <xdr:col>17</xdr:col>
      <xdr:colOff>0</xdr:colOff>
      <xdr:row>13</xdr:row>
      <xdr:rowOff>0</xdr:rowOff>
    </xdr:from>
    <xdr:to>
      <xdr:col>22</xdr:col>
      <xdr:colOff>742950</xdr:colOff>
      <xdr:row>28</xdr:row>
      <xdr:rowOff>0</xdr:rowOff>
    </xdr:to>
    <xdr:graphicFrame macro="">
      <xdr:nvGraphicFramePr>
        <xdr:cNvPr id="54" name="Chart 53">
          <a:extLst>
            <a:ext uri="{FF2B5EF4-FFF2-40B4-BE49-F238E27FC236}">
              <a16:creationId xmlns:a16="http://schemas.microsoft.com/office/drawing/2014/main" id="{00000000-0008-0000-00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0</xdr:colOff>
      <xdr:row>13</xdr:row>
      <xdr:rowOff>0</xdr:rowOff>
    </xdr:from>
    <xdr:to>
      <xdr:col>22</xdr:col>
      <xdr:colOff>742950</xdr:colOff>
      <xdr:row>28</xdr:row>
      <xdr:rowOff>0</xdr:rowOff>
    </xdr:to>
    <xdr:graphicFrame macro="">
      <xdr:nvGraphicFramePr>
        <xdr:cNvPr id="57" name="Chart 56">
          <a:extLst>
            <a:ext uri="{FF2B5EF4-FFF2-40B4-BE49-F238E27FC236}">
              <a16:creationId xmlns:a16="http://schemas.microsoft.com/office/drawing/2014/main" id="{00000000-0008-0000-0000-00003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xdr:col>
      <xdr:colOff>0</xdr:colOff>
      <xdr:row>13</xdr:row>
      <xdr:rowOff>0</xdr:rowOff>
    </xdr:from>
    <xdr:to>
      <xdr:col>9</xdr:col>
      <xdr:colOff>247650</xdr:colOff>
      <xdr:row>28</xdr:row>
      <xdr:rowOff>0</xdr:rowOff>
    </xdr:to>
    <xdr:graphicFrame macro="">
      <xdr:nvGraphicFramePr>
        <xdr:cNvPr id="63" name="IncomeVsSpendingChart">
          <a:extLst>
            <a:ext uri="{FF2B5EF4-FFF2-40B4-BE49-F238E27FC236}">
              <a16:creationId xmlns:a16="http://schemas.microsoft.com/office/drawing/2014/main" id="{00000000-0008-0000-0000-00003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20</xdr:col>
      <xdr:colOff>0</xdr:colOff>
      <xdr:row>38</xdr:row>
      <xdr:rowOff>0</xdr:rowOff>
    </xdr:from>
    <xdr:to>
      <xdr:col>26</xdr:col>
      <xdr:colOff>469900</xdr:colOff>
      <xdr:row>58</xdr:row>
      <xdr:rowOff>0</xdr:rowOff>
    </xdr:to>
    <xdr:graphicFrame macro="">
      <xdr:nvGraphicFramePr>
        <xdr:cNvPr id="4096" name="Chart 4095">
          <a:extLst>
            <a:ext uri="{FF2B5EF4-FFF2-40B4-BE49-F238E27FC236}">
              <a16:creationId xmlns:a16="http://schemas.microsoft.com/office/drawing/2014/main" id="{00000000-0008-0000-0000-0000001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542925</xdr:colOff>
          <xdr:row>1</xdr:row>
          <xdr:rowOff>142875</xdr:rowOff>
        </xdr:from>
        <xdr:to>
          <xdr:col>5</xdr:col>
          <xdr:colOff>533400</xdr:colOff>
          <xdr:row>4</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CA" sz="1200" b="0" i="0" u="none" strike="noStrike" baseline="0">
                  <a:solidFill>
                    <a:srgbClr val="000000"/>
                  </a:solidFill>
                  <a:latin typeface="Aptos Narrow"/>
                </a:rPr>
                <a:t>Specific 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533400</xdr:colOff>
          <xdr:row>5</xdr:row>
          <xdr:rowOff>9525</xdr:rowOff>
        </xdr:from>
        <xdr:to>
          <xdr:col>5</xdr:col>
          <xdr:colOff>542925</xdr:colOff>
          <xdr:row>7</xdr:row>
          <xdr:rowOff>190500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CA" sz="1200" b="0" i="0" u="none" strike="noStrike" baseline="0">
                  <a:solidFill>
                    <a:srgbClr val="000000"/>
                  </a:solidFill>
                  <a:latin typeface="Aptos Narrow"/>
                </a:rPr>
                <a:t>Add Expense/Income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9</xdr:row>
          <xdr:rowOff>38100</xdr:rowOff>
        </xdr:from>
        <xdr:to>
          <xdr:col>10</xdr:col>
          <xdr:colOff>2352675</xdr:colOff>
          <xdr:row>12</xdr:row>
          <xdr:rowOff>114300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CA" sz="1200" b="0" i="0" u="none" strike="noStrike" baseline="0">
                  <a:solidFill>
                    <a:srgbClr val="000000"/>
                  </a:solidFill>
                  <a:latin typeface="Aptos Narrow"/>
                </a:rPr>
                <a:t>Contribute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2</xdr:row>
          <xdr:rowOff>142875</xdr:rowOff>
        </xdr:from>
        <xdr:to>
          <xdr:col>10</xdr:col>
          <xdr:colOff>2371725</xdr:colOff>
          <xdr:row>8</xdr:row>
          <xdr:rowOff>38100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CA" sz="1200" b="0" i="0" u="none" strike="noStrike" baseline="0">
                  <a:solidFill>
                    <a:srgbClr val="000000"/>
                  </a:solidFill>
                  <a:latin typeface="Aptos Narrow"/>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13</xdr:row>
          <xdr:rowOff>114300</xdr:rowOff>
        </xdr:from>
        <xdr:to>
          <xdr:col>10</xdr:col>
          <xdr:colOff>2352675</xdr:colOff>
          <xdr:row>17</xdr:row>
          <xdr:rowOff>47625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CA" sz="1200" b="0" i="0" u="none" strike="noStrike" baseline="0">
                  <a:solidFill>
                    <a:srgbClr val="000000"/>
                  </a:solidFill>
                  <a:latin typeface="Aptos Narrow"/>
                </a:rPr>
                <a:t>Refresh Days Left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676275</xdr:colOff>
          <xdr:row>3</xdr:row>
          <xdr:rowOff>76200</xdr:rowOff>
        </xdr:from>
        <xdr:to>
          <xdr:col>11</xdr:col>
          <xdr:colOff>333375</xdr:colOff>
          <xdr:row>9</xdr:row>
          <xdr:rowOff>95250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CA" sz="1200" b="0" i="0" u="none" strike="noStrike" baseline="0">
                  <a:solidFill>
                    <a:srgbClr val="000000"/>
                  </a:solidFill>
                  <a:latin typeface="Aptos Narrow"/>
                </a:rPr>
                <a:t>Add/Refresh Investments</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09">
  <rv s="0">
    <v>https://www.bing.com/financeapi/forcetrigger?t=a23hqh&amp;q=ARCX%3aSPY&amp;form=skydnc</v>
    <v>Learn more on Bing</v>
  </rv>
  <rv s="1">
    <v>en-US</v>
    <v>a23hqh</v>
    <v>268435456</v>
    <v>1</v>
    <v>Powered by Refinitiv</v>
    <v>0</v>
    <v>SPDR S&amp;P 500 (ARCX:SPY)</v>
    <v>2</v>
    <v>3</v>
    <v>Finance</v>
    <v>4</v>
    <v>613.23</v>
    <v>493.86</v>
    <v>0.99819999999999998</v>
    <v>3.21</v>
    <v>-1.8579999999999998E-3</v>
    <v>5.6049999999999997E-3</v>
    <v>-1.07</v>
    <v>USD</v>
    <v>NYSE Arca</v>
    <v>ARCX</v>
    <v>9.4499999999999998E-4</v>
    <v>577.39</v>
    <v>ETF</v>
    <v>45723.930053969532</v>
    <v>0</v>
    <v>565.63</v>
    <v>634082242747.79004</v>
    <v>SPDR S&amp;P 500</v>
    <v>570.9</v>
    <v>572.71</v>
    <v>575.91999999999996</v>
    <v>574.85</v>
    <v>SPY</v>
    <v>SPDR S&amp;P 500 (ARCX:SPY)</v>
    <v>81158816</v>
    <v>48274571</v>
  </rv>
  <rv s="2">
    <v>1</v>
  </rv>
  <rv s="0">
    <v>https://www.bing.com/financeapi/forcetrigger?t=a25hm7&amp;q=ARCX%3aVOO&amp;form=skydnc</v>
    <v>Learn more on Bing</v>
  </rv>
  <rv s="1">
    <v>en-US</v>
    <v>a25hm7</v>
    <v>268435456</v>
    <v>1</v>
    <v>Powered by Refinitiv</v>
    <v>0</v>
    <v>Vanguard 500 Idx;ETF (ARCX:VOO)</v>
    <v>2</v>
    <v>3</v>
    <v>Finance</v>
    <v>5</v>
    <v>563.91999999999996</v>
    <v>453.9</v>
    <v>1.0001</v>
    <v>2.82</v>
    <v>-1.9070000000000001E-3</v>
    <v>5.3540000000000003E-3</v>
    <v>-1.01</v>
    <v>USD</v>
    <v>NYSE Arca</v>
    <v>ARCX</v>
    <v>2.9999999999999997E-4</v>
    <v>530.88</v>
    <v>ETF</v>
    <v>45724.041616793751</v>
    <v>3</v>
    <v>520.13</v>
    <v>621891108264</v>
    <v>Vanguard 500 Idx;ETF</v>
    <v>524.9</v>
    <v>526.66999999999996</v>
    <v>529.49</v>
    <v>528.5</v>
    <v>VOO</v>
    <v>Vanguard 500 Idx;ETF (ARCX:VOO)</v>
    <v>7308280</v>
    <v>5326655</v>
  </rv>
  <rv s="2">
    <v>4</v>
  </rv>
  <rv s="0">
    <v>https://www.bing.com/financeapi/forcetrigger?t=a1vwrw&amp;q=ARCX%3aIVV&amp;form=skydnc</v>
    <v>Learn more on Bing</v>
  </rv>
  <rv s="1">
    <v>en-US</v>
    <v>a1vwrw</v>
    <v>268435456</v>
    <v>1</v>
    <v>Powered by Refinitiv</v>
    <v>0</v>
    <v>iShares:Core S&amp;P 500 (ARCX:IVV)</v>
    <v>2</v>
    <v>3</v>
    <v>Finance</v>
    <v>5</v>
    <v>616.22</v>
    <v>496.3</v>
    <v>0.99990000000000001</v>
    <v>3.06</v>
    <v>-1.054E-3</v>
    <v>5.3169999999999997E-3</v>
    <v>-0.61</v>
    <v>USD</v>
    <v>NYSE Arca</v>
    <v>ARCX</v>
    <v>2.9999999999999997E-4</v>
    <v>580.12</v>
    <v>ETF</v>
    <v>45723.995383911715</v>
    <v>6</v>
    <v>568.4</v>
    <v>594077180708.04004</v>
    <v>iShares:Core S&amp;P 500</v>
    <v>573.63</v>
    <v>575.54</v>
    <v>578.6</v>
    <v>577.9</v>
    <v>IVV</v>
    <v>iShares:Core S&amp;P 500 (ARCX:IVV)</v>
    <v>6534114</v>
    <v>4454129</v>
  </rv>
  <rv s="2">
    <v>7</v>
  </rv>
  <rv s="0">
    <v>https://www.bing.com/financeapi/forcetrigger?t=a25lrw&amp;q=ARCX%3aVTI&amp;form=skydnc</v>
    <v>Learn more on Bing</v>
  </rv>
  <rv s="1">
    <v>en-US</v>
    <v>a25lrw</v>
    <v>268435456</v>
    <v>1</v>
    <v>Powered by Refinitiv</v>
    <v>0</v>
    <v>Vanguard TSM Idx;ETF (ARCX:VTI)</v>
    <v>2</v>
    <v>3</v>
    <v>Finance</v>
    <v>5</v>
    <v>303.3904</v>
    <v>244.57</v>
    <v>1.0007999999999999</v>
    <v>1.4</v>
    <v>-3.5290000000000001E-4</v>
    <v>4.9639999999999997E-3</v>
    <v>-0.1</v>
    <v>USD</v>
    <v>NYSE Arca</v>
    <v>ARCX</v>
    <v>2.9999999999999997E-4</v>
    <v>284.05</v>
    <v>ETF</v>
    <v>45724.040727071093</v>
    <v>9</v>
    <v>278.11</v>
    <v>474920517285</v>
    <v>Vanguard TSM Idx;ETF</v>
    <v>281.22000000000003</v>
    <v>282.01</v>
    <v>283.41000000000003</v>
    <v>283.24</v>
    <v>VTI</v>
    <v>Vanguard TSM Idx;ETF (ARCX:VTI)</v>
    <v>3868701</v>
    <v>3534970</v>
  </rv>
  <rv s="2">
    <v>10</v>
  </rv>
  <rv s="0">
    <v>https://www.bing.com/financeapi/forcetrigger?t=a22lvh&amp;q=ARCX%3aSCHB&amp;form=skydnc</v>
    <v>Learn more on Bing</v>
  </rv>
  <rv s="1">
    <v>en-US</v>
    <v>a22lvh</v>
    <v>268435456</v>
    <v>1</v>
    <v>Powered by Refinitiv</v>
    <v>0</v>
    <v>Schwab Str:US Br Mkt ETF (ARCX:SCHB)</v>
    <v>2</v>
    <v>3</v>
    <v>Finance</v>
    <v>5</v>
    <v>23.765499999999999</v>
    <v>19.136700000000001</v>
    <v>1.0032000000000001</v>
    <v>0.11</v>
    <v>8.9040000000000005E-3</v>
    <v>4.9819999999999994E-3</v>
    <v>0.19750000000000001</v>
    <v>USD</v>
    <v>NYSE Arca</v>
    <v>ARCX</v>
    <v>2.9999999999999997E-4</v>
    <v>22.24</v>
    <v>ETF</v>
    <v>45723.978683402347</v>
    <v>12</v>
    <v>21.771100000000001</v>
    <v>32911978913.43</v>
    <v>Schwab Str:US Br Mkt ETF</v>
    <v>22.01</v>
    <v>22.08</v>
    <v>22.19</v>
    <v>22.377500000000001</v>
    <v>SCHB</v>
    <v>Schwab Str:US Br Mkt ETF (ARCX:SCHB)</v>
    <v>4796137</v>
    <v>3929809</v>
  </rv>
  <rv s="2">
    <v>13</v>
  </rv>
  <rv s="0">
    <v>https://www.bing.com/financeapi/forcetrigger?t=a1vuqh&amp;q=ARCX%3aITOT&amp;form=skydnc</v>
    <v>Learn more on Bing</v>
  </rv>
  <rv s="1">
    <v>en-US</v>
    <v>a1vuqh</v>
    <v>268435456</v>
    <v>1</v>
    <v>Powered by Refinitiv</v>
    <v>0</v>
    <v>iShares:Core S&amp;P Tot USM (ARCX:ITOT)</v>
    <v>2</v>
    <v>3</v>
    <v>Finance</v>
    <v>5</v>
    <v>134.69999999999999</v>
    <v>108.49</v>
    <v>1.0036</v>
    <v>0.65</v>
    <v>7.9519999999999992E-4</v>
    <v>5.1970000000000002E-3</v>
    <v>0.1</v>
    <v>USD</v>
    <v>NYSE Arca</v>
    <v>ARCX</v>
    <v>2.9999999999999997E-4</v>
    <v>126.05</v>
    <v>ETF</v>
    <v>45723.997424964844</v>
    <v>15</v>
    <v>123.41</v>
    <v>65149770155.139999</v>
    <v>iShares:Core S&amp;P Tot USM</v>
    <v>124.65</v>
    <v>125.07</v>
    <v>125.72</v>
    <v>125.85</v>
    <v>ITOT</v>
    <v>iShares:Core S&amp;P Tot USM (ARCX:ITOT)</v>
    <v>1885522</v>
    <v>1445673</v>
  </rv>
  <rv s="2">
    <v>16</v>
  </rv>
  <rv s="0">
    <v>https://www.bing.com/financeapi/forcetrigger?t=a25ntc&amp;q=XNAS%3aVXUS&amp;form=skydnc</v>
    <v>Learn more on Bing</v>
  </rv>
  <rv s="1">
    <v>en-US</v>
    <v>a25ntc</v>
    <v>268435456</v>
    <v>1</v>
    <v>Powered by Refinitiv</v>
    <v>0</v>
    <v>Vanguard Tot I S;ETF (XNAS:VXUS)</v>
    <v>2</v>
    <v>3</v>
    <v>Finance</v>
    <v>5</v>
    <v>65.52</v>
    <v>56.91</v>
    <v>0.97109999999999996</v>
    <v>0.54</v>
    <v>-2.8179999999999998E-3</v>
    <v>8.5249999999999996E-3</v>
    <v>-0.18</v>
    <v>USD</v>
    <v>Nasdaq Stock Market</v>
    <v>XNAS</v>
    <v>5.0000000000000001E-4</v>
    <v>63.92</v>
    <v>ETF</v>
    <v>45724.037714339844</v>
    <v>18</v>
    <v>63.21</v>
    <v>80645396577</v>
    <v>Vanguard Tot I S;ETF</v>
    <v>63.42</v>
    <v>63.34</v>
    <v>63.88</v>
    <v>63.7</v>
    <v>VXUS</v>
    <v>Vanguard Tot I S;ETF (XNAS:VXUS)</v>
    <v>4651662</v>
    <v>4214676</v>
  </rv>
  <rv s="2">
    <v>19</v>
  </rv>
  <rv s="0">
    <v>https://www.bing.com/financeapi/forcetrigger?t=a25927&amp;q=ARCX%3aVEA&amp;form=skydnc</v>
    <v>Learn more on Bing</v>
  </rv>
  <rv s="1">
    <v>en-US</v>
    <v>a25927</v>
    <v>268435456</v>
    <v>1</v>
    <v>Powered by Refinitiv</v>
    <v>0</v>
    <v>Vanguard Dev Mkt;ETF (ARCX:VEA)</v>
    <v>2</v>
    <v>3</v>
    <v>Finance</v>
    <v>5</v>
    <v>53.395000000000003</v>
    <v>46.795000000000002</v>
    <v>1.0601</v>
    <v>0.54</v>
    <v>3.8039999999999998E-4</v>
    <v>1.0379000000000001E-2</v>
    <v>0.02</v>
    <v>USD</v>
    <v>NYSE Arca</v>
    <v>ARCX</v>
    <v>2.9999999999999997E-4</v>
    <v>52.63</v>
    <v>ETF</v>
    <v>45724.032978888281</v>
    <v>21</v>
    <v>51.99</v>
    <v>139699633985</v>
    <v>Vanguard Dev Mkt;ETF</v>
    <v>52.11</v>
    <v>52.03</v>
    <v>52.57</v>
    <v>52.6</v>
    <v>VEA</v>
    <v>Vanguard Dev Mkt;ETF (ARCX:VEA)</v>
    <v>12723905</v>
    <v>11636748</v>
  </rv>
  <rv s="2">
    <v>22</v>
  </rv>
  <rv s="0">
    <v>https://www.bing.com/financeapi/forcetrigger?t=a1vynm&amp;q=XNAS%3aIXUS&amp;form=skydnc</v>
    <v>Learn more on Bing</v>
  </rv>
  <rv s="1">
    <v>en-US</v>
    <v>a1vynm</v>
    <v>268435456</v>
    <v>1</v>
    <v>Powered by Refinitiv</v>
    <v>0</v>
    <v>iShares:Core MSCI TIS (XNAS:IXUS)</v>
    <v>2</v>
    <v>3</v>
    <v>Finance</v>
    <v>4</v>
    <v>73.53</v>
    <v>63.61</v>
    <v>0.98529999999999995</v>
    <v>0.6</v>
    <v>5.4450000000000002E-3</v>
    <v>8.4499999999999992E-3</v>
    <v>0.38990000000000002</v>
    <v>USD</v>
    <v>Nasdaq Stock Market</v>
    <v>XNAS</v>
    <v>7.000000000000001E-4</v>
    <v>71.694999999999993</v>
    <v>ETF</v>
    <v>45724.000052835159</v>
    <v>24</v>
    <v>70.875</v>
    <v>39611486208.129997</v>
    <v>iShares:Core MSCI TIS</v>
    <v>71.16</v>
    <v>71.010000000000005</v>
    <v>71.61</v>
    <v>71.999899999999997</v>
    <v>IXUS</v>
    <v>iShares:Core MSCI TIS (XNAS:IXUS)</v>
    <v>2779604</v>
    <v>2548082</v>
  </rv>
  <rv s="2">
    <v>25</v>
  </rv>
  <rv s="0">
    <v>https://www.bing.com/financeapi/forcetrigger?t=a21mim&amp;q=XNAS%3aQQQ&amp;form=skydnc</v>
    <v>Learn more on Bing</v>
  </rv>
  <rv s="1">
    <v>en-US</v>
    <v>a21mim</v>
    <v>268435456</v>
    <v>1</v>
    <v>Powered by Refinitiv</v>
    <v>0</v>
    <v>Invesco QQQ Trust 1 (XNAS:QQQ)</v>
    <v>2</v>
    <v>3</v>
    <v>Finance</v>
    <v>4</v>
    <v>540.80999999999995</v>
    <v>413.07</v>
    <v>1.0664</v>
    <v>3.59</v>
    <v>-1.8079999999999999E-3</v>
    <v>7.3540000000000003E-3</v>
    <v>-0.88900000000000001</v>
    <v>USD</v>
    <v>Nasdaq Stock Market</v>
    <v>XNAS</v>
    <v>2E-3</v>
    <v>493.28</v>
    <v>ETF</v>
    <v>45724.041615034374</v>
    <v>27</v>
    <v>480.53</v>
    <v>323779248069.04999</v>
    <v>Invesco QQQ Trust 1</v>
    <v>487.16</v>
    <v>488.2</v>
    <v>491.79</v>
    <v>490.90100000000001</v>
    <v>QQQ</v>
    <v>Invesco QQQ Trust 1 (XNAS:QQQ)</v>
    <v>54714726</v>
    <v>34713939</v>
  </rv>
  <rv s="2">
    <v>28</v>
  </rv>
  <rv s="0">
    <v>https://www.bing.com/financeapi/forcetrigger?t=a24g52&amp;q=XNAS%3aTQQQ&amp;form=skydnc</v>
    <v>Learn more on Bing</v>
  </rv>
  <rv s="1">
    <v>en-US</v>
    <v>a24g52</v>
    <v>268435456</v>
    <v>1</v>
    <v>Powered by Refinitiv</v>
    <v>0</v>
    <v>ProShares:UltP QQQ (XNAS:TQQQ)</v>
    <v>2</v>
    <v>3</v>
    <v>Finance</v>
    <v>4</v>
    <v>93.789199999999994</v>
    <v>48.8</v>
    <v>3.2642000000000002</v>
    <v>1.37</v>
    <v>-5.934E-3</v>
    <v>2.0745E-2</v>
    <v>-0.4</v>
    <v>USD</v>
    <v>Nasdaq Stock Market</v>
    <v>XNAS</v>
    <v>8.3999999999999995E-3</v>
    <v>68.010000000000005</v>
    <v>ETF</v>
    <v>45724.041653784378</v>
    <v>30</v>
    <v>62.89</v>
    <v>22349419887.790001</v>
    <v>ProShares:UltP QQQ</v>
    <v>65.56</v>
    <v>66.040000000000006</v>
    <v>67.41</v>
    <v>67.010000000000005</v>
    <v>TQQQ</v>
    <v>ProShares:UltP QQQ (XNAS:TQQQ)</v>
    <v>135177332</v>
    <v>62774470</v>
  </rv>
  <rv s="2">
    <v>31</v>
  </rv>
  <rv s="0">
    <v>https://www.bing.com/financeapi/forcetrigger?t=a1oopr&amp;q=XNAS%3aBND&amp;form=skydnc</v>
    <v>Learn more on Bing</v>
  </rv>
  <rv s="1">
    <v>en-US</v>
    <v>a1oopr</v>
    <v>268435456</v>
    <v>1</v>
    <v>Powered by Refinitiv</v>
    <v>0</v>
    <v>Vanguard Tot Bd;ETF (XNAS:BND)</v>
    <v>2</v>
    <v>3</v>
    <v>Finance</v>
    <v>5</v>
    <v>75.67</v>
    <v>70.37</v>
    <v>0.98809999999999998</v>
    <v>-0.08</v>
    <v>6.8490000000000001E-4</v>
    <v>-1.0950000000000001E-3</v>
    <v>0.05</v>
    <v>USD</v>
    <v>Nasdaq Stock Market</v>
    <v>XNAS</v>
    <v>2.9999999999999997E-4</v>
    <v>73.37</v>
    <v>ETF</v>
    <v>45724.037380289061</v>
    <v>33</v>
    <v>72.95</v>
    <v>127198538565</v>
    <v>Vanguard Tot Bd;ETF</v>
    <v>73.33</v>
    <v>73.08</v>
    <v>73</v>
    <v>73.05</v>
    <v>BND</v>
    <v>Vanguard Tot Bd;ETF (XNAS:BND)</v>
    <v>5036333</v>
    <v>6814334</v>
  </rv>
  <rv s="2">
    <v>34</v>
  </rv>
  <rv s="0">
    <v>https://www.bing.com/financeapi/forcetrigger?t=a1n26h&amp;q=ARCX%3aAGG&amp;form=skydnc</v>
    <v>Learn more on Bing</v>
  </rv>
  <rv s="1">
    <v>en-US</v>
    <v>a1n26h</v>
    <v>268435456</v>
    <v>1</v>
    <v>Powered by Refinitiv</v>
    <v>0</v>
    <v>iShares:Core US Agg Bd (ARCX:AGG)</v>
    <v>2</v>
    <v>3</v>
    <v>Finance</v>
    <v>4</v>
    <v>102.04</v>
    <v>94.85</v>
    <v>0.99739999999999995</v>
    <v>-0.12</v>
    <v>1.0170000000000001E-4</v>
    <v>-1.219E-3</v>
    <v>0.01</v>
    <v>USD</v>
    <v>NYSE Arca</v>
    <v>ARCX</v>
    <v>2.9999999999999997E-4</v>
    <v>98.975200000000001</v>
    <v>ETF</v>
    <v>45723.898347615628</v>
    <v>36</v>
    <v>98.3</v>
    <v>125526912995.92999</v>
    <v>iShares:Core US Agg Bd</v>
    <v>98.85</v>
    <v>98.47</v>
    <v>98.35</v>
    <v>98.36</v>
    <v>AGG</v>
    <v>iShares:Core US Agg Bd (ARCX:AGG)</v>
    <v>6450705</v>
    <v>8499461</v>
  </rv>
  <rv s="2">
    <v>37</v>
  </rv>
  <rv s="0">
    <v>https://www.bing.com/financeapi/forcetrigger?t=a24b5r&amp;q=XNAS%3aTLT&amp;form=skydnc</v>
    <v>Learn more on Bing</v>
  </rv>
  <rv s="1">
    <v>en-US</v>
    <v>a24b5r</v>
    <v>268435456</v>
    <v>1</v>
    <v>Powered by Refinitiv</v>
    <v>0</v>
    <v>iShares:20+ Trs Bd ETF (XNAS:TLT)</v>
    <v>2</v>
    <v>3</v>
    <v>Finance</v>
    <v>4</v>
    <v>101.64</v>
    <v>84.89</v>
    <v>1.0664</v>
    <v>-0.28999999999999998</v>
    <v>1.554E-3</v>
    <v>-3.2079999999999999E-3</v>
    <v>0.14000000000000001</v>
    <v>USD</v>
    <v>Nasdaq Stock Market</v>
    <v>XNAS</v>
    <v>1.5E-3</v>
    <v>91.16</v>
    <v>ETF</v>
    <v>45724.041454108592</v>
    <v>39</v>
    <v>89.984999999999999</v>
    <v>53267938376.099998</v>
    <v>iShares:20+ Trs Bd ETF</v>
    <v>91.14</v>
    <v>90.4</v>
    <v>90.11</v>
    <v>90.25</v>
    <v>TLT</v>
    <v>iShares:20+ Trs Bd ETF (XNAS:TLT)</v>
    <v>36903632</v>
    <v>38871570</v>
  </rv>
  <rv s="2">
    <v>40</v>
  </rv>
  <rv s="0">
    <v>https://www.bing.com/financeapi/forcetrigger?t=a1mou2&amp;q=XNAS%3aAAPL&amp;form=skydnc</v>
    <v>Learn more on Bing</v>
  </rv>
  <rv s="3">
    <v>en-US</v>
    <v>a1mou2</v>
    <v>268435456</v>
    <v>1</v>
    <v>Powered by Refinitiv</v>
    <v>6</v>
    <v>APPLE INC. (XNAS:AAPL)</v>
    <v>7</v>
    <v>8</v>
    <v>Finance</v>
    <v>9</v>
    <v>260.10000000000002</v>
    <v>164.07499999999999</v>
    <v>1.2433000000000001</v>
    <v>3.74</v>
    <v>-1.7569999999999999E-3</v>
    <v>1.5893000000000001E-2</v>
    <v>-0.42</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241.37</v>
    <v>Computers, Phones &amp; Household Electronics</v>
    <v>Stock</v>
    <v>45724.041537510937</v>
    <v>42</v>
    <v>234.76</v>
    <v>3595105000000</v>
    <v>APPLE INC.</v>
    <v>APPLE INC.</v>
    <v>235.10499999999999</v>
    <v>34.29</v>
    <v>235.33</v>
    <v>239.07</v>
    <v>238.65</v>
    <v>15037870000</v>
    <v>AAPL</v>
    <v>APPLE INC. (XNAS:AAPL)</v>
    <v>46273565</v>
    <v>48497221</v>
    <v>1977</v>
  </rv>
  <rv s="2">
    <v>43</v>
  </rv>
  <rv s="0">
    <v>http://en.wikipedia.org/wiki/Public_domain</v>
    <v>Public domain</v>
  </rv>
  <rv s="0">
    <v>https://en.wikipedia.org/wiki/Microsoft</v>
    <v>Wikipedia</v>
  </rv>
  <rv s="4">
    <v>45</v>
    <v>46</v>
  </rv>
  <rv s="5">
    <v>15</v>
    <v>https://www.bing.com/th?id=AMMS_e6e837c7bf3a77408619758b7447855a&amp;qlt=95</v>
    <v>47</v>
    <v>0</v>
    <v>https://www.bing.com/images/search?form=xlimg&amp;q=microsoft</v>
    <v>Image of MICROSOFT CORPORATION</v>
  </rv>
  <rv s="0">
    <v>https://www.bing.com/financeapi/forcetrigger?t=a1xzim&amp;q=XNAS%3aMSFT&amp;form=skydnc</v>
    <v>Learn more on Bing</v>
  </rv>
  <rv s="6">
    <v>en-US</v>
    <v>a1xzim</v>
    <v>268435456</v>
    <v>1</v>
    <v>Powered by Refinitiv</v>
    <v>10</v>
    <v>MICROSOFT CORPORATION (XNAS:MSFT)</v>
    <v>12</v>
    <v>13</v>
    <v>Finance</v>
    <v>14</v>
    <v>468.35</v>
    <v>381</v>
    <v>0.99419999999999997</v>
    <v>-3.58</v>
    <v>-1.9070000000000001E-3</v>
    <v>-9.0200000000000002E-3</v>
    <v>-0.75</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98052-6399 US</v>
    <v>394.8</v>
    <v>48</v>
    <v>Software &amp; IT Services</v>
    <v>Stock</v>
    <v>45724.041476851562</v>
    <v>49</v>
    <v>385.54</v>
    <v>2923860000000</v>
    <v>MICROSOFT CORPORATION</v>
    <v>MICROSOFT CORPORATION</v>
    <v>392.32</v>
    <v>31.681799999999999</v>
    <v>396.89</v>
    <v>393.31</v>
    <v>392.56</v>
    <v>7433982000</v>
    <v>MSFT</v>
    <v>MICROSOFT CORPORATION (XNAS:MSFT)</v>
    <v>22034087</v>
    <v>24814655</v>
    <v>1993</v>
  </rv>
  <rv s="2">
    <v>50</v>
  </rv>
  <rv s="0">
    <v>https://www.bing.com/financeapi/forcetrigger?t=a1u3rw&amp;q=XNAS%3aGOOGL&amp;form=skydnc</v>
    <v>Learn more on Bing</v>
  </rv>
  <rv s="3">
    <v>en-US</v>
    <v>a1u3rw</v>
    <v>268435456</v>
    <v>1</v>
    <v>Powered by Refinitiv</v>
    <v>6</v>
    <v>ALPHABET INC. (XNAS:GOOGL)</v>
    <v>7</v>
    <v>8</v>
    <v>Finance</v>
    <v>14</v>
    <v>207.05</v>
    <v>131.61000000000001</v>
    <v>0.99960000000000004</v>
    <v>1.51</v>
    <v>-8.0519999999999995E-4</v>
    <v>8.7609999999999997E-3</v>
    <v>-0.14000000000000001</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183323</v>
    <v>Nasdaq Stock Market</v>
    <v>XNAS</v>
    <v>XNAS</v>
    <v>1600 Amphitheatre Parkway, MOUNTAIN VIEW, CA, 94043 US</v>
    <v>174.97</v>
    <v>Software &amp; IT Services</v>
    <v>Stock</v>
    <v>45724.041495253907</v>
    <v>52</v>
    <v>170.27</v>
    <v>2132906000000</v>
    <v>ALPHABET INC.</v>
    <v>ALPHABET INC.</v>
    <v>171.26</v>
    <v>21.595099999999999</v>
    <v>172.35</v>
    <v>173.86</v>
    <v>173.72</v>
    <v>12208000000</v>
    <v>GOOGL</v>
    <v>ALPHABET INC. (XNAS:GOOGL)</v>
    <v>27385813</v>
    <v>33251073</v>
    <v>2015</v>
  </rv>
  <rv s="2">
    <v>53</v>
  </rv>
  <rv s="0">
    <v>https://www.bing.com/financeapi/forcetrigger?t=a1nhlh&amp;q=XNAS%3aAMZN&amp;form=skydnc</v>
    <v>Learn more on Bing</v>
  </rv>
  <rv s="3">
    <v>en-US</v>
    <v>a1nhlh</v>
    <v>268435456</v>
    <v>1</v>
    <v>Powered by Refinitiv</v>
    <v>6</v>
    <v>AMAZON.COM, INC. (XNAS:AMZN)</v>
    <v>7</v>
    <v>8</v>
    <v>Finance</v>
    <v>9</v>
    <v>242.52</v>
    <v>151.61000000000001</v>
    <v>1.3872</v>
    <v>-1.45</v>
    <v>-1.0040000000000001E-3</v>
    <v>-7.2250000000000005E-3</v>
    <v>-0.2</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1556000</v>
    <v>Nasdaq Stock Market</v>
    <v>XNAS</v>
    <v>XNAS</v>
    <v>410 Terry Avenue North, SEATTLE, WA, 98109 US</v>
    <v>202.2653</v>
    <v>Diversified Retail</v>
    <v>Stock</v>
    <v>45723.910061365626</v>
    <v>55</v>
    <v>192.53</v>
    <v>2111598000000</v>
    <v>AMAZON.COM, INC.</v>
    <v>AMAZON.COM, INC.</v>
    <v>199.49</v>
    <v>36.081000000000003</v>
    <v>200.7</v>
    <v>199.25</v>
    <v>199.05</v>
    <v>10597730000</v>
    <v>AMZN</v>
    <v>AMAZON.COM, INC. (XNAS:AMZN)</v>
    <v>59802821</v>
    <v>41767076</v>
    <v>1996</v>
  </rv>
  <rv s="2">
    <v>56</v>
  </rv>
  <rv s="0">
    <v>https://www.bing.com/financeapi/forcetrigger?t=a24kar&amp;q=XNAS%3aTSLA&amp;form=skydnc</v>
    <v>Learn more on Bing</v>
  </rv>
  <rv s="3">
    <v>en-US</v>
    <v>a24kar</v>
    <v>268435456</v>
    <v>1</v>
    <v>Powered by Refinitiv</v>
    <v>6</v>
    <v>TESLA, INC. (XNAS:TSLA)</v>
    <v>7</v>
    <v>8</v>
    <v>Finance</v>
    <v>9</v>
    <v>488.53989999999999</v>
    <v>138.80250000000001</v>
    <v>2.6015999999999999</v>
    <v>-0.78</v>
    <v>-8.7560000000000003E-4</v>
    <v>-2.9609999999999997E-3</v>
    <v>-0.23</v>
    <v>USD</v>
    <v>Tesla, Inc. designs, develops, manufactures, sells and leases high-performance fully electric vehicles and energy generation and storage systems, and offers services related to its products. The Company's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after-sales vehicle services, body shop and parts, paid supercharging, vehicle insurance and retail merchandise. Its consumer vehicles include the Model 3, Y, S, X and Cybertruck. The energy generation and storage segment includes the design, manufacture, installation, sales and leasing of solar energy generation and energy storage products and related services and sales of solar energy systems incentives. Its lithium-ion battery energy storage products include Powerwall and Megapack.</v>
    <v>125665</v>
    <v>Nasdaq Stock Market</v>
    <v>XNAS</v>
    <v>XNAS</v>
    <v>1 Tesla Road, AUSTIN, TX, 78725 US</v>
    <v>266.24990000000003</v>
    <v>Automobiles &amp; Auto Parts</v>
    <v>Stock</v>
    <v>45723.930052453128</v>
    <v>58</v>
    <v>250.73</v>
    <v>844882500000</v>
    <v>TESLA, INC.</v>
    <v>TESLA, INC.</v>
    <v>259.32</v>
    <v>128.96209999999999</v>
    <v>263.45</v>
    <v>262.67</v>
    <v>262.44</v>
    <v>3216517000</v>
    <v>TSLA</v>
    <v>TESLA, INC. (XNAS:TSLA)</v>
    <v>102369640</v>
    <v>87952145</v>
    <v>2024</v>
  </rv>
  <rv s="2">
    <v>59</v>
  </rv>
  <rv s="0">
    <v>https://www.bing.com/financeapi/forcetrigger?t=a1waa2&amp;q=XNYS%3aJPM&amp;form=skydnc</v>
    <v>Learn more on Bing</v>
  </rv>
  <rv s="3">
    <v>en-US</v>
    <v>a1waa2</v>
    <v>268435456</v>
    <v>1</v>
    <v>Powered by Refinitiv</v>
    <v>6</v>
    <v>JPMORGAN CHASE &amp; CO. (XNYS:JPM)</v>
    <v>7</v>
    <v>8</v>
    <v>Finance</v>
    <v>14</v>
    <v>280.25</v>
    <v>179.2</v>
    <v>1.0143</v>
    <v>-4.55</v>
    <v>-1.651E-4</v>
    <v>-1.8454999999999999E-2</v>
    <v>-0.04</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317233</v>
    <v>New York Stock Exchange</v>
    <v>XNYS</v>
    <v>XNYS</v>
    <v>383 Madison Avenue, NEW YORK, NY, 10179-0001 US</v>
    <v>246.72</v>
    <v>Banking Services</v>
    <v>Stock</v>
    <v>45723.997952939062</v>
    <v>61</v>
    <v>239.42</v>
    <v>677440600000</v>
    <v>JPMORGAN CHASE &amp; CO.</v>
    <v>JPMORGAN CHASE &amp; CO.</v>
    <v>245.23</v>
    <v>12.252700000000001</v>
    <v>246.54</v>
    <v>241.99</v>
    <v>242.24</v>
    <v>2796106000</v>
    <v>JPM</v>
    <v>JPMORGAN CHASE &amp; CO. (XNYS:JPM)</v>
    <v>20498734</v>
    <v>8518115</v>
    <v>1968</v>
  </rv>
  <rv s="2">
    <v>62</v>
  </rv>
  <rv s="0">
    <v>https://www.bing.com/financeapi/forcetrigger?t=a1o4sm&amp;q=XNYS%3aBAC&amp;form=skydnc</v>
    <v>Learn more on Bing</v>
  </rv>
  <rv s="3">
    <v>en-US</v>
    <v>a1o4sm</v>
    <v>268435456</v>
    <v>1</v>
    <v>Powered by Refinitiv</v>
    <v>6</v>
    <v>BANK OF AMERICA CORPORATION (XNYS:BAC)</v>
    <v>7</v>
    <v>8</v>
    <v>Finance</v>
    <v>14</v>
    <v>48.08</v>
    <v>34.15</v>
    <v>1.2638</v>
    <v>0.17</v>
    <v>-4.8309999999999998E-4</v>
    <v>4.1260000000000003E-3</v>
    <v>-0.02</v>
    <v>USD</v>
    <v>Bank of America Corporation is a bank holding company and a financial holding company. Its segments include Consumer Banking, Global Wealth &amp; Investment Management (GWIM), Global Banking and Global Markets. Consumer Banking segment offers a range of credit, banking and investment products and services to consumers and small businesses. The GWIM includes two businesses: Merrill Wealth Management, which provides tailored solutions to meet clients' needs through a full set of investment management, brokerage, banking and retirement products and Bank of America Private Bank, which provides comprehensive wealth management solutions.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213000</v>
    <v>New York Stock Exchange</v>
    <v>XNYS</v>
    <v>XNYS</v>
    <v>Bank Of America Corporate Center, 100 N Tryon St, CHARLOTTE, NC, 28255 US</v>
    <v>41.73</v>
    <v>Banking Services</v>
    <v>Stock</v>
    <v>45723.936244825782</v>
    <v>64</v>
    <v>40.61</v>
    <v>314833600000</v>
    <v>BANK OF AMERICA CORPORATION</v>
    <v>BANK OF AMERICA CORPORATION</v>
    <v>41.31</v>
    <v>12.8879</v>
    <v>41.2</v>
    <v>41.37</v>
    <v>41.38</v>
    <v>7604677000</v>
    <v>BAC</v>
    <v>BANK OF AMERICA CORPORATION (XNYS:BAC)</v>
    <v>50651434</v>
    <v>37909978</v>
    <v>1998</v>
  </rv>
  <rv s="2">
    <v>65</v>
  </rv>
  <rv s="0">
    <v>https://www.bing.com/financeapi/forcetrigger?t=a1otrw&amp;q=XNYS%3aBRK.B&amp;form=skydnc</v>
    <v>Learn more on Bing</v>
  </rv>
  <rv s="3">
    <v>en-US</v>
    <v>a1otrw</v>
    <v>268435456</v>
    <v>1</v>
    <v>Powered by Refinitiv</v>
    <v>6</v>
    <v>BERKSHIRE HATHAWAY INC. (XNYS:BRK.B)</v>
    <v>7</v>
    <v>8</v>
    <v>Finance</v>
    <v>14</v>
    <v>518.77</v>
    <v>395.661</v>
    <v>0.84630000000000005</v>
    <v>-2.4300000000000002</v>
    <v>-4.6410000000000001E-4</v>
    <v>-4.8809999999999999E-3</v>
    <v>-0.23</v>
    <v>USD</v>
    <v>Berkshire Hathaway Inc. and its subsidiaries are engaged in diverse business activities, including insurance and reinsurance, utilities and energy, freight rail transportation, manufacturing, services and retailing. The Company’s segments include Insurance; Railroad (BNSF); Berkshire Hathaway Energy (BHE); Pilot Travel Centers (Pilot); Manufacturing; McLane Company (McLane), and Service and retailing. The Insurance segment includes GEICO, Berkshire Hathaway Primary Group and Berkshire Hathaway Reinsurance Group. The BNSF segment includes operation of railroad systems in North America through Burlington Northern Santa Fe, LLC. The BHE segment offers regulated electric and gas utilities. The Manufacturing segment manufacturers various products, including industrial, consumer and building products. The McLane segment is engaged in wholesale distribution of groceries and non-food items. The Pilot segment is an operator of travel centers in North America and a marketer of wholesale fuel.</v>
    <v>392400</v>
    <v>New York Stock Exchange</v>
    <v>XNYS</v>
    <v>XNYS</v>
    <v>3555 Farnam Street, OMAHA, NE, 68131 US</v>
    <v>498.27</v>
    <v>Consumer Goods Conglomerates</v>
    <v>Stock</v>
    <v>45723.93624039297</v>
    <v>67</v>
    <v>490.11</v>
    <v>1068930000000</v>
    <v>BERKSHIRE HATHAWAY INC.</v>
    <v>BERKSHIRE HATHAWAY INC.</v>
    <v>496.29</v>
    <v>12.004099999999999</v>
    <v>497.84</v>
    <v>495.41</v>
    <v>495.39</v>
    <v>1438220</v>
    <v>BRK.B</v>
    <v>BERKSHIRE HATHAWAY INC. (XNYS:BRK.B)</v>
    <v>3842150</v>
    <v>4196128</v>
    <v>1998</v>
  </rv>
  <rv s="2">
    <v>68</v>
  </rv>
  <rv s="0">
    <v>https://www.bing.com/financeapi/forcetrigger?t=a1w8ec&amp;q=XNYS%3aJNJ&amp;form=skydnc</v>
    <v>Learn more on Bing</v>
  </rv>
  <rv s="3">
    <v>en-US</v>
    <v>a1w8ec</v>
    <v>268435456</v>
    <v>1</v>
    <v>Powered by Refinitiv</v>
    <v>6</v>
    <v>JOHNSON &amp; JOHNSON (XNYS:JNJ)</v>
    <v>7</v>
    <v>8</v>
    <v>Finance</v>
    <v>14</v>
    <v>169.99</v>
    <v>140.68</v>
    <v>0.48949999999999999</v>
    <v>0.84</v>
    <v>-2.4000000000000001E-4</v>
    <v>5.0649999999999992E-3</v>
    <v>-0.04</v>
    <v>USD</v>
    <v>Johnson &amp; Johnson and its subsidiaries are engaged in the research and development, manufacture, and sale of a range of products in the healthcare field. The Company's primary focus is products related to human health and well-being. The Company operates through two segments: Innovative Medicine and MedTech. The Innovative Medicine segment is focused on various therapeutic areas, including immunology, infectious diseases, neuroscience, oncology, pulmonary hypertension, and cardiovascular and metabolism. Medicines in this segment are distributed directly to retailers, wholesalers, distributors, hospitals, and healthcare professionals for prescription use. The MedTech segment includes a broad portfolio of products used in the orthopedic, surgery, cardiovascular, and vision fields. These products are distributed to wholesalers, hospitals and retailers, and used principally in the professional fields by physicians, nurses, hospitals, eyecare professionals, and clinics.</v>
    <v>138100</v>
    <v>New York Stock Exchange</v>
    <v>XNYS</v>
    <v>XNYS</v>
    <v>One Johnson &amp; Johnson Plaza, NEW BRUNSWICK, NJ, 08933 US</v>
    <v>168.46</v>
    <v>Pharmaceuticals</v>
    <v>Stock</v>
    <v>45723.997953807811</v>
    <v>70</v>
    <v>164.7</v>
    <v>401325600000</v>
    <v>JOHNSON &amp; JOHNSON</v>
    <v>JOHNSON &amp; JOHNSON</v>
    <v>165.13</v>
    <v>28.7546</v>
    <v>165.83</v>
    <v>166.67</v>
    <v>166.65</v>
    <v>2407617000</v>
    <v>JNJ</v>
    <v>JOHNSON &amp; JOHNSON (XNYS:JNJ)</v>
    <v>9637593</v>
    <v>9012874</v>
    <v>1887</v>
  </rv>
  <rv s="2">
    <v>71</v>
  </rv>
  <rv s="0">
    <v>https://www.bing.com/financeapi/forcetrigger?t=a24xlh&amp;q=XNYS%3aUNH&amp;form=skydnc</v>
    <v>Learn more on Bing</v>
  </rv>
  <rv s="3">
    <v>en-US</v>
    <v>a24xlh</v>
    <v>268435456</v>
    <v>1</v>
    <v>Powered by Refinitiv</v>
    <v>6</v>
    <v>UNITEDHEALTH GROUP INCORPORATED (XNYS:UNH)</v>
    <v>7</v>
    <v>8</v>
    <v>Finance</v>
    <v>14</v>
    <v>630.73</v>
    <v>436.38</v>
    <v>0.67059999999999997</v>
    <v>5.77</v>
    <v>-1.9859999999999999E-3</v>
    <v>1.1831000000000001E-2</v>
    <v>-0.98</v>
    <v>USD</v>
    <v>UnitedHealth Group Incorporated is a healthcare company. The Company has two businesses, Optum and UnitedHealthcare. Optum serves the health care marketplace, including patients and consumers, payers, care providers, employers, governments and life sciences companies. UnitedHealthcare offers a full range of health benefits designed to simplify the health care experience and make it more affordable for consumers to access care. UnitedHealthcare Employer &amp; Individual serves consumers and employers, ranging from sole proprietorships to large, multi-site and national employers and public sector employers. UnitedHealthcare Medicare &amp; Retirement delivers health and well-being benefits to seniors and other Medicare eligible consumers. The Company’s segments include Optum Health, Optum Insight, Optum Rx and UnitedHealthcare. UnitedHealthcare segment includes UnitedHealthcare Employer &amp; Individual, UnitedHealthcare Medicare &amp; Retirement and UnitedHealthcare Community &amp; State.</v>
    <v>400000</v>
    <v>New York Stock Exchange</v>
    <v>XNYS</v>
    <v>XNYS</v>
    <v>1 HEALTH DRIVE, EDEN PRAIRIE, MN, 55344 US</v>
    <v>499.92</v>
    <v>Healthcare Providers &amp; Services</v>
    <v>Stock</v>
    <v>45723.99795109922</v>
    <v>73</v>
    <v>483.36500000000001</v>
    <v>451392300000</v>
    <v>UNITEDHEALTH GROUP INCORPORATED</v>
    <v>UNITEDHEALTH GROUP INCORPORATED</v>
    <v>483.83</v>
    <v>31.814299999999999</v>
    <v>487.72</v>
    <v>493.49</v>
    <v>492.5</v>
    <v>914712300</v>
    <v>UNH</v>
    <v>UNITEDHEALTH GROUP INCORPORATED (XNYS:UNH)</v>
    <v>5434096</v>
    <v>5235097</v>
    <v>2015</v>
  </rv>
  <rv s="2">
    <v>74</v>
  </rv>
  <rv s="0">
    <v>https://www.bing.com/financeapi/forcetrigger?t=a1zqnm&amp;q=XNYS%3aPFE&amp;form=skydnc</v>
    <v>Learn more on Bing</v>
  </rv>
  <rv s="3">
    <v>en-US</v>
    <v>a1zqnm</v>
    <v>268435456</v>
    <v>1</v>
    <v>Powered by Refinitiv</v>
    <v>6</v>
    <v>PFIZER INC. (XNYS:PFE)</v>
    <v>7</v>
    <v>8</v>
    <v>Finance</v>
    <v>14</v>
    <v>31.54</v>
    <v>24.48</v>
    <v>0.626</v>
    <v>0.49</v>
    <v>-2.6190000000000002E-3</v>
    <v>1.8674E-2</v>
    <v>-7.0000000000000007E-2</v>
    <v>USD</v>
    <v>Pfizer Inc. is a research-based global biopharmaceutical company. The Company is engaged in the discovery, development, manufacture, marketing, sale and distribution of biopharmaceutical products worldwide. Its Biopharma segment is engaged in the science-based biopharmaceutical business. Its Biopharma segment includes the Pfizer Oncology Division, the Pfizer U.S. Commercial Division, and the Pfizer International Commercial Division. Its product categories include oncology, primary care and specialty care. Its Oncology products include Ibrance, Xtandi, Inlyta, Bosulif, Lorbrena, Braftovi, Mektovi, Padcev, Adcetris, Talzenna, Tukysa, Elrexfio and Tivdak. Its primary care products include Eliquis, Nurtec ODT/Vydura, Comirnaty, the Prevnar family, Abrysvo, FSME/IMMUN-TicoVac, Paxlovid and Lucira by Pfizer. Its specialty care products include Xeljanz, Enbrel (outside the U.S. and Canada), Inflectra, Cibinqo, Litfulo, Vyndaqel family, Genotropin, Sulperazon, Zavicefta, Medrol and Panzyga.</v>
    <v>81000</v>
    <v>New York Stock Exchange</v>
    <v>XNYS</v>
    <v>XNYS</v>
    <v>66 HUDSON BOULEVARD EAST, NEW YORK, NY, 10001-2192 US</v>
    <v>26.885000000000002</v>
    <v>Pharmaceuticals</v>
    <v>Stock</v>
    <v>45724.041582349222</v>
    <v>76</v>
    <v>26.18</v>
    <v>151488000000</v>
    <v>PFIZER INC.</v>
    <v>PFIZER INC.</v>
    <v>26.4</v>
    <v>18.997900000000001</v>
    <v>26.24</v>
    <v>26.73</v>
    <v>26.66</v>
    <v>5667340000</v>
    <v>PFE</v>
    <v>PFIZER INC. (XNYS:PFE)</v>
    <v>54337680</v>
    <v>41924091</v>
    <v>1942</v>
  </rv>
  <rv s="2">
    <v>77</v>
  </rv>
  <rv s="0">
    <v>https://www.bing.com/financeapi/forcetrigger?t=a269ec&amp;q=XNYS%3aXOM&amp;form=skydnc</v>
    <v>Learn more on Bing</v>
  </rv>
  <rv s="3">
    <v>en-US</v>
    <v>a269ec</v>
    <v>268435456</v>
    <v>1</v>
    <v>Powered by Refinitiv</v>
    <v>6</v>
    <v>EXXON MOBIL CORPORATION (XNYS:XOM)</v>
    <v>7</v>
    <v>8</v>
    <v>Finance</v>
    <v>14</v>
    <v>126.34</v>
    <v>103.67</v>
    <v>0.63100000000000001</v>
    <v>1.36</v>
    <v>0</v>
    <v>1.2637000000000001E-2</v>
    <v>0</v>
    <v>USD</v>
    <v>Exxon Mobil Corporation is an international energy and petrochemical company. Its primary businesses include exploration for, and production of, crude oil and natural gas; manufacturing, transport and sale of crude oil, natural gas, petroleum products, petrochemicals, and a variety of specialty products; and pursuit of lower-emission business opportunities including carbon capture and storage, hydrogen, lower-emission fuels and lithium. The Upstream segment explores for and produces crude oil and natural gas. The Energy Products, Chemical Products and Specialty Products segments manufacture and sell petroleum products and petrochemicals. Energy Products include fuels, aromatics, and catalysts and licensing. Its Chemical Products consist of olefins, polyolefins, and intermediates. Its Specialty Products include finished lubricants, synthetics, and elastomers and resins. It also focuses on net-zero greenhouse gas emissions from its operated unconventional operations in the Permian Basin.</v>
    <v>61000</v>
    <v>New York Stock Exchange</v>
    <v>XNYS</v>
    <v>XNYS</v>
    <v>22777 SPRINGWOODS VILLAGE PARKWAY, SPRING, TX, 77389-1425 US</v>
    <v>110.4</v>
    <v>Oil &amp; Gas</v>
    <v>Stock</v>
    <v>45723.997953807811</v>
    <v>79</v>
    <v>108.3</v>
    <v>473053400000</v>
    <v>EXXON MOBIL CORPORATION</v>
    <v>EXXON MOBIL CORPORATION</v>
    <v>108.41</v>
    <v>13.8925</v>
    <v>107.62</v>
    <v>108.98</v>
    <v>109.02</v>
    <v>4339143000</v>
    <v>XOM</v>
    <v>EXXON MOBIL CORPORATION (XNYS:XOM)</v>
    <v>19624965</v>
    <v>15586149</v>
    <v>1882</v>
  </rv>
  <rv s="2">
    <v>80</v>
  </rv>
  <rv s="0">
    <v>https://www.bing.com/financeapi/forcetrigger?t=a1qlz2&amp;q=XNYS%3aCVX&amp;form=skydnc</v>
    <v>Learn more on Bing</v>
  </rv>
  <rv s="3">
    <v>en-US</v>
    <v>a1qlz2</v>
    <v>268435456</v>
    <v>1</v>
    <v>Powered by Refinitiv</v>
    <v>6</v>
    <v>CHEVRON CORPORATION (XNYS:CVX)</v>
    <v>7</v>
    <v>8</v>
    <v>Finance</v>
    <v>14</v>
    <v>167.11</v>
    <v>135.3672</v>
    <v>0.96379999999999999</v>
    <v>3.37</v>
    <v>8.9550000000000003E-4</v>
    <v>2.2033000000000001E-2</v>
    <v>0.14000000000000001</v>
    <v>USD</v>
    <v>Chevron Corporation is an integrated energy company. The Company produces crude oil and natural gas; manufactures transportation fuels, lubricants, petrochemicals and additives; and develops technologies that enhance our business and the industry. The Company’s upstream operations consist primarily of exploring for, developing, producing and transporting crude oil and natural gas; liquefaction, transportation and regasification associated with liquefied natural gas (LNG); transporting crude oil by major international oil export pipelines; processing, transporting, storage and marketing of natural gas; carbon capture and storage; and a gas-to-liquids plant. The Company’s downstream operations consist primarily of refining of crude oil into petroleum products; marketing of crude oil, refined products, and lubricants; manufacturing and marketing of renewable fuels; transporting of crude oil and refined products by pipeline, marine vessel, motor equipment and rail car; and others.</v>
    <v>45298</v>
    <v>New York Stock Exchange</v>
    <v>XNYS</v>
    <v>XNYS</v>
    <v>1400 SMITH STREET, HOUSTON, TX, 77002 US</v>
    <v>157.44999999999999</v>
    <v>Oil &amp; Gas</v>
    <v>Stock</v>
    <v>45723.936236851565</v>
    <v>82</v>
    <v>153.71</v>
    <v>275252000000</v>
    <v>CHEVRON CORPORATION</v>
    <v>CHEVRON CORPORATION</v>
    <v>153.94999999999999</v>
    <v>16.119599999999998</v>
    <v>152.94999999999999</v>
    <v>156.32</v>
    <v>156.47999999999999</v>
    <v>1760599000</v>
    <v>CVX</v>
    <v>CHEVRON CORPORATION (XNYS:CVX)</v>
    <v>8562635</v>
    <v>7315197</v>
    <v>1926</v>
  </rv>
  <rv s="2">
    <v>83</v>
  </rv>
  <rv s="0">
    <v>https://www.bing.com/financeapi/forcetrigger?t=a1orf2&amp;q=XNYS%3aBP&amp;form=skydnc</v>
    <v>Learn more on Bing</v>
  </rv>
  <rv s="3">
    <v>en-US</v>
    <v>a1orf2</v>
    <v>268435456</v>
    <v>1</v>
    <v>Powered by Refinitiv</v>
    <v>6</v>
    <v>BP P.L.C. (XNYS:BP)</v>
    <v>7</v>
    <v>8</v>
    <v>Finance</v>
    <v>14</v>
    <v>40.4</v>
    <v>27.822700000000001</v>
    <v>0.41010000000000002</v>
    <v>0.36</v>
    <v>5.6129999999999999E-3</v>
    <v>1.1353E-2</v>
    <v>0.18</v>
    <v>USD</v>
    <v>BP p.l.c. is a United Kingdom-based integrated energy company. The Company's segments include gas &amp; low carbon energy, oil production &amp; operations, customers &amp; products, and other businesses &amp; corporate. Its gas business includes regions with upstream activities that produce natural gas, integrated gas and power, and gas trading. Its low carbon business includes solar, offshore and onshore wind, hydrogen and carbon capture and storage and power trading. Oil production &amp; operations segment comprises regions with upstream activities that predominantly produce crude oil, including bpx energy. Customers &amp; products segment comprises its customer-focused businesses, which include convenience and retail fuels, electric vehicle charging, as well as Castrol, aviation and business to business and midstream. It also includes its products businesses, refining and oil trading, as well as its bioenergy businesses. Other businesses &amp; corporate segment comprises bp ventures, Launchpad and others.</v>
    <v>100500</v>
    <v>New York Stock Exchange</v>
    <v>XNYS</v>
    <v>XNYS</v>
    <v>1 St James's Square, LONDON, SW1Y 4PD GB</v>
    <v>32.255000000000003</v>
    <v>Oil &amp; Gas</v>
    <v>Stock</v>
    <v>45723.930054721874</v>
    <v>85</v>
    <v>31.875</v>
    <v>86839610000</v>
    <v>BP P.L.C.</v>
    <v>BP P.L.C.</v>
    <v>31.93</v>
    <v>390.14600000000002</v>
    <v>31.71</v>
    <v>32.07</v>
    <v>32.25</v>
    <v>2709436000</v>
    <v>BP</v>
    <v>BP P.L.C. (XNYS:BP)</v>
    <v>8862062</v>
    <v>14063411</v>
    <v>1909</v>
  </rv>
  <rv s="2">
    <v>86</v>
  </rv>
  <rv s="0">
    <v>https://www.bing.com/financeapi/forcetrigger?t=a1zsjc&amp;q=XNYS%3aPG&amp;form=skydnc</v>
    <v>Learn more on Bing</v>
  </rv>
  <rv s="3">
    <v>en-US</v>
    <v>a1zsjc</v>
    <v>268435456</v>
    <v>1</v>
    <v>Powered by Refinitiv</v>
    <v>6</v>
    <v>THE PROCTER &amp; GAMBLE COMPANY (XNYS:PG)</v>
    <v>7</v>
    <v>8</v>
    <v>Finance</v>
    <v>14</v>
    <v>180.43</v>
    <v>153.52000000000001</v>
    <v>0.41260000000000002</v>
    <v>1.24</v>
    <v>-2.8420000000000002E-4</v>
    <v>7.0999999999999995E-3</v>
    <v>-0.05</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Bounty and others.</v>
    <v>108000</v>
    <v>New York Stock Exchange</v>
    <v>XNYS</v>
    <v>XNYS</v>
    <v>One Procter &amp; Gamble Plaza, CINCINNATI, OH, 45202 US</v>
    <v>178.89</v>
    <v>Personal &amp; Household Products &amp; Services</v>
    <v>Stock</v>
    <v>45723.936246851561</v>
    <v>88</v>
    <v>174.05</v>
    <v>412576700000</v>
    <v>THE PROCTER &amp; GAMBLE COMPANY</v>
    <v>THE PROCTER &amp; GAMBLE COMPANY</v>
    <v>174.09</v>
    <v>28.025200000000002</v>
    <v>174.66</v>
    <v>175.9</v>
    <v>175.9</v>
    <v>2344852000</v>
    <v>PG</v>
    <v>THE PROCTER &amp; GAMBLE COMPANY (XNYS:PG)</v>
    <v>9566763</v>
    <v>7250064</v>
    <v>1905</v>
  </rv>
  <rv s="2">
    <v>89</v>
  </rv>
  <rv s="0">
    <v>https://www.bing.com/financeapi/forcetrigger?t=a1wljc&amp;q=XNYS%3aKO&amp;form=skydnc</v>
    <v>Learn more on Bing</v>
  </rv>
  <rv s="3">
    <v>en-US</v>
    <v>a1wljc</v>
    <v>268435456</v>
    <v>1</v>
    <v>Powered by Refinitiv</v>
    <v>6</v>
    <v>THE COCA-COLA COMPANY (XNYS:KO)</v>
    <v>7</v>
    <v>8</v>
    <v>Finance</v>
    <v>14</v>
    <v>73.53</v>
    <v>57.93</v>
    <v>0.46529999999999999</v>
    <v>0.96</v>
    <v>8.4000000000000003E-4</v>
    <v>1.3625E-2</v>
    <v>0.06</v>
    <v>USD</v>
    <v>The Coca-Cola Company is a beverage company. The Company's segments include Europe, Middle East and Africa; Latin America; North America; Asia Pacific; Global Ventures;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AdeS.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69700</v>
    <v>New York Stock Exchange</v>
    <v>XNYS</v>
    <v>XNYS</v>
    <v>1 Coca Cola Plz NW, ATLANTA, GA, 30313-2420 US</v>
    <v>71.819999999999993</v>
    <v>Beverages</v>
    <v>Stock</v>
    <v>45723.978367916403</v>
    <v>91</v>
    <v>69.650000000000006</v>
    <v>307220500000</v>
    <v>THE COCA-COLA COMPANY</v>
    <v>THE COCA-COLA COMPANY</v>
    <v>69.650000000000006</v>
    <v>29.021899999999999</v>
    <v>70.459999999999994</v>
    <v>71.42</v>
    <v>71.489999999999995</v>
    <v>4301000000</v>
    <v>KO</v>
    <v>THE COCA-COLA COMPANY (XNYS:KO)</v>
    <v>28393261</v>
    <v>18566962</v>
    <v>1919</v>
  </rv>
  <rv s="2">
    <v>92</v>
  </rv>
  <rv s="0">
    <v>http://en.wikipedia.org/wiki/The_Walt_Disney_Company</v>
    <v>Wikipedia</v>
  </rv>
  <rv s="4">
    <v>45</v>
    <v>94</v>
  </rv>
  <rv s="5">
    <v>15</v>
    <v>https://www.bing.com/th?id=AMMS_0aa288ba528f6f45e3de87d97e250136&amp;qlt=95</v>
    <v>95</v>
    <v>0</v>
    <v>https://www.bing.com/images/search?form=xlimg&amp;q=the+walt+disney+company</v>
    <v>Image of THE WALT DISNEY COMPANY</v>
  </rv>
  <rv s="0">
    <v>https://www.bing.com/financeapi/forcetrigger?t=a1r2z2&amp;q=XNYS%3aDIS&amp;form=skydnc</v>
    <v>Learn more on Bing</v>
  </rv>
  <rv s="6">
    <v>en-US</v>
    <v>a1r2z2</v>
    <v>268435456</v>
    <v>1</v>
    <v>Powered by Refinitiv</v>
    <v>10</v>
    <v>THE WALT DISNEY COMPANY (XNYS:DIS)</v>
    <v>12</v>
    <v>13</v>
    <v>Finance</v>
    <v>9</v>
    <v>123.74</v>
    <v>83.91</v>
    <v>1.4278999999999999</v>
    <v>0.08</v>
    <v>-4.2649999999999997E-3</v>
    <v>7.5880000000000001E-4</v>
    <v>-0.45</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105.77</v>
    <v>96</v>
    <v>Media &amp; Publishing</v>
    <v>Stock</v>
    <v>45723.918692024999</v>
    <v>97</v>
    <v>103.31</v>
    <v>190739800000</v>
    <v>THE WALT DISNEY COMPANY</v>
    <v>THE WALT DISNEY COMPANY</v>
    <v>105</v>
    <v>34.258699999999997</v>
    <v>105.43</v>
    <v>105.51</v>
    <v>105.06</v>
    <v>1807789000</v>
    <v>DIS</v>
    <v>THE WALT DISNEY COMPANY (XNYS:DIS)</v>
    <v>12715904</v>
    <v>9370952</v>
    <v>2018</v>
  </rv>
  <rv s="2">
    <v>98</v>
  </rv>
  <rv s="0">
    <v>https://www.bing.com/financeapi/forcetrigger?t=a1yv52&amp;q=XNAS%3aNVDA&amp;form=skydnc</v>
    <v>Learn more on Bing</v>
  </rv>
  <rv s="3">
    <v>en-US</v>
    <v>a1yv52</v>
    <v>268435456</v>
    <v>1</v>
    <v>Powered by Refinitiv</v>
    <v>6</v>
    <v>NVIDIA CORPORATION (XNAS:NVDA)</v>
    <v>7</v>
    <v>8</v>
    <v>Finance</v>
    <v>14</v>
    <v>153.13</v>
    <v>75.605999999999995</v>
    <v>1.9541999999999999</v>
    <v>2.12</v>
    <v>-4.7920000000000003E-3</v>
    <v>1.9172999999999999E-2</v>
    <v>-0.54</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three-dimensional Internet applications.</v>
    <v>36000</v>
    <v>Nasdaq Stock Market</v>
    <v>XNAS</v>
    <v>XNAS</v>
    <v>2788 San Tomas Expressway, SANTA CLARA, CA, 95051 US</v>
    <v>113.48</v>
    <v>Semiconductors &amp; Semiconductor Equipment</v>
    <v>Stock</v>
    <v>45723.875006503906</v>
    <v>100</v>
    <v>107.56</v>
    <v>2749636000000</v>
    <v>NVIDIA CORPORATION</v>
    <v>NVIDIA CORPORATION</v>
    <v>111.25</v>
    <v>38.336500000000001</v>
    <v>110.57</v>
    <v>112.69</v>
    <v>112.15</v>
    <v>24400000000</v>
    <v>NVDA</v>
    <v>NVIDIA CORPORATION (XNAS:NVDA)</v>
    <v>341755468</v>
    <v>278178921</v>
    <v>1998</v>
  </rv>
  <rv s="2">
    <v>101</v>
  </rv>
  <rv s="0">
    <v>https://www.bing.com/financeapi/forcetrigger?t=a1ndww&amp;q=XNAS%3aAMD&amp;form=skydnc</v>
    <v>Learn more on Bing</v>
  </rv>
  <rv s="3">
    <v>en-US</v>
    <v>a1ndww</v>
    <v>268435456</v>
    <v>1</v>
    <v>Powered by Refinitiv</v>
    <v>6</v>
    <v>ADVANCED MICRO DEVICES, INC. (XNAS:AMD)</v>
    <v>7</v>
    <v>8</v>
    <v>Finance</v>
    <v>14</v>
    <v>227.3</v>
    <v>95.89</v>
    <v>1.9370000000000001</v>
    <v>1.46</v>
    <v>-1.9940000000000001E-3</v>
    <v>1.477E-2</v>
    <v>-0.2</v>
    <v>USD</v>
    <v>Advanced Micro Devices, Inc. is a global semiconductor company. It is focused on high-performance computing, graphics and visualization technologies. It operates in four segments. The Data Center segment includes artificial intelligence (AI) accelerators, server central processing units (CPUs), graphics processing units (GPUs), accelerated processing units (APUs), data processing units (DPUs), field programmable gate arrays (FPGAs), smart network interface cards (SmartNICs), and Adaptive system-on-chip (SoC) products for data centers. The Client segment primarily includes CPUs, APUs, and chipsets for desktops and notebooks. The Gaming segment primarily includes discrete GPUs, semi-custom SoC products and development services. The Embedded segment includes embedded CPUs, GPUs, APUs, FPGAs, system on modules (SOMs), and Adaptive SoC products. It markets and sells its products under the AMD trademark. Its products include AMD EPYC, AMD Ryzen, AMD Ryzen PRO, Virtex UltraScale+ and others.</v>
    <v>28000</v>
    <v>Nasdaq Stock Market</v>
    <v>XNAS</v>
    <v>XNAS</v>
    <v>2485 Augustine Drive, SANTA CLARA, CA, 95054 US</v>
    <v>100.65</v>
    <v>Semiconductors &amp; Semiconductor Equipment</v>
    <v>Stock</v>
    <v>45724.0416471875</v>
    <v>103</v>
    <v>96.39</v>
    <v>162550100000</v>
    <v>ADVANCED MICRO DEVICES, INC.</v>
    <v>ADVANCED MICRO DEVICES, INC.</v>
    <v>98.88</v>
    <v>99.99</v>
    <v>98.85</v>
    <v>100.31</v>
    <v>100.11</v>
    <v>1620478000</v>
    <v>AMD</v>
    <v>ADVANCED MICRO DEVICES, INC. (XNAS:AMD)</v>
    <v>33254367</v>
    <v>40760835</v>
    <v>1969</v>
  </rv>
  <rv s="2">
    <v>104</v>
  </rv>
  <rv s="0">
    <v>https://www.bing.com/financeapi/forcetrigger?t=a1slm7&amp;q=XNAS%3aMETA&amp;form=skydnc</v>
    <v>Learn more on Bing</v>
  </rv>
  <rv s="3">
    <v>en-US</v>
    <v>a1slm7</v>
    <v>268435456</v>
    <v>1</v>
    <v>Powered by Refinitiv</v>
    <v>6</v>
    <v>Meta Platforms, Inc. (XNAS:META)</v>
    <v>7</v>
    <v>8</v>
    <v>Finance</v>
    <v>9</v>
    <v>740.91</v>
    <v>414.5</v>
    <v>1.2515000000000001</v>
    <v>-2.27</v>
    <v>-2.3340000000000001E-3</v>
    <v>-3.6149999999999997E-3</v>
    <v>-1.46</v>
    <v>USD</v>
    <v>Meta Platforms, Inc. builds technology that helps people connect and share, find communities, and grow businesses. The Company’s products enable people to connect and share with friends and family through mobile devices, personal computers, virtual reality (VR) and mixed reality (MR) headsets, and wearables. It operates through two segments: Family of Apps (FoA) and Reality Labs (RL). The FoA segment includes Facebook, Instagram, Messenger, Threads and WhatsApp. The RL includes augmented, mixed and virtual reality related consumer hardware, software, and content. Instagram is a place where people and creators can connect and express themselves through photos, video, and private messaging, and discover and shop from their favorite businesses. Threads is an application for text-based updates and public conversations. Its RL product offerings in VR include Meta Quest devices, and software and content available through the Meta Horizon Store, which enable a range of social experiences.</v>
    <v>74067</v>
    <v>Nasdaq Stock Market</v>
    <v>XNAS</v>
    <v>XNAS</v>
    <v>1 Meta Way, MENLO PARK, CA, 94025 US</v>
    <v>634.79</v>
    <v>Software &amp; IT Services</v>
    <v>Stock</v>
    <v>45723.928476260939</v>
    <v>106</v>
    <v>600.61</v>
    <v>1585209000000</v>
    <v>Meta Platforms, Inc.</v>
    <v>Meta Platforms, Inc.</v>
    <v>625.37</v>
    <v>25.895700000000001</v>
    <v>627.92999999999995</v>
    <v>625.66</v>
    <v>624.20000000000005</v>
    <v>2533659000</v>
    <v>META</v>
    <v>Meta Platforms, Inc. (XNAS:META)</v>
    <v>21375671</v>
    <v>16265765</v>
    <v>2004</v>
  </rv>
  <rv s="2">
    <v>107</v>
  </rv>
</rvData>
</file>

<file path=xl/richData/rdrichvaluestructure.xml><?xml version="1.0" encoding="utf-8"?>
<rvStructures xmlns="http://schemas.microsoft.com/office/spreadsheetml/2017/richdata" count="7">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3">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16">
    <spb s="0">
      <v>0</v>
      <v>Name</v>
      <v>LearnMoreOnLink</v>
    </spb>
    <spb s="1">
      <v>0</v>
      <v>0</v>
      <v>0</v>
    </spb>
    <spb s="2">
      <v>1</v>
      <v>1</v>
      <v>1</v>
    </spb>
    <spb s="3">
      <v>1</v>
      <v>2</v>
      <v>1</v>
      <v>3</v>
      <v>1</v>
      <v>1</v>
      <v>1</v>
      <v>4</v>
      <v>5</v>
      <v>6</v>
      <v>1</v>
      <v>1</v>
      <v>5</v>
      <v>1</v>
      <v>4</v>
      <v>7</v>
      <v>8</v>
      <v>1</v>
      <v>1</v>
      <v>5</v>
    </spb>
    <spb s="4">
      <v>at close</v>
      <v>from previous close</v>
      <v>Source: Nasdaq</v>
      <v>from previous close</v>
      <v>GMT</v>
      <v>Delayed 15 minutes</v>
      <v>from close</v>
      <v>from close</v>
    </spb>
    <spb s="4">
      <v>at close</v>
      <v>from previous close</v>
      <v>Source: Nasdaq Last Sale</v>
      <v>from previous close</v>
      <v>GMT</v>
      <v>Real-Time Nasdaq Last Sale</v>
      <v>from close</v>
      <v>from close</v>
    </spb>
    <spb s="0">
      <v>1</v>
      <v>Name</v>
      <v>LearnMoreOnLink</v>
    </spb>
    <spb s="5">
      <v>1</v>
      <v>1</v>
      <v>1</v>
      <v>1</v>
    </spb>
    <spb s="6">
      <v>1</v>
      <v>2</v>
      <v>2</v>
      <v>1</v>
      <v>3</v>
      <v>1</v>
      <v>1</v>
      <v>1</v>
      <v>4</v>
      <v>4</v>
      <v>5</v>
      <v>6</v>
      <v>1</v>
      <v>1</v>
      <v>1</v>
      <v>4</v>
      <v>7</v>
      <v>9</v>
      <v>8</v>
      <v>4</v>
      <v>1</v>
      <v>1</v>
      <v>5</v>
    </spb>
    <spb s="7">
      <v>at close</v>
      <v>from previous close</v>
      <v>from previous close</v>
      <v>Source: Nasdaq</v>
      <v>GMT</v>
      <v>Delayed 15 minutes</v>
      <v>from close</v>
      <v>from close</v>
    </spb>
    <spb s="0">
      <v>2</v>
      <v>Name</v>
      <v>LearnMoreOnLink</v>
    </spb>
    <spb s="8">
      <v>0</v>
      <v>0</v>
    </spb>
    <spb s="9">
      <v>11</v>
      <v>1</v>
      <v>1</v>
      <v>1</v>
      <v>1</v>
    </spb>
    <spb s="10">
      <v>1</v>
      <v>2</v>
      <v>2</v>
      <v>1</v>
      <v>3</v>
      <v>1</v>
      <v>10</v>
      <v>1</v>
      <v>1</v>
      <v>4</v>
      <v>4</v>
      <v>5</v>
      <v>6</v>
      <v>1</v>
      <v>1</v>
      <v>1</v>
      <v>4</v>
      <v>7</v>
      <v>9</v>
      <v>8</v>
      <v>4</v>
      <v>1</v>
      <v>1</v>
      <v>5</v>
    </spb>
    <spb s="7">
      <v>at close</v>
      <v>from previous close</v>
      <v>from previous close</v>
      <v>Source: Nasdaq Last Sale</v>
      <v>GMT</v>
      <v>Real-Time Nasdaq Last Sale</v>
      <v>from close</v>
      <v>from close</v>
    </spb>
    <spb s="11">
      <v>Powered by Refinitiv</v>
    </spb>
  </spbData>
</supportingPropertyBags>
</file>

<file path=xl/richData/rdsupportingpropertybagstructure.xml><?xml version="1.0" encoding="utf-8"?>
<spbStructures xmlns="http://schemas.microsoft.com/office/spreadsheetml/2017/richdata2" count="12">
  <s>
    <k n="^Order" t="spba"/>
    <k n="TitleProperty" t="s"/>
    <k n="SubTitleProperty" t="s"/>
  </s>
  <s>
    <k n="ShowInCardView" t="b"/>
    <k n="ShowInDotNotation" t="b"/>
    <k n="ShowInAutoComplete" t="b"/>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0" formatCode="General"/>
    </x:dxf>
    <x:dxf>
      <x:numFmt numFmtId="4" formatCode="#,##0.00"/>
    </x:dxf>
    <x:dxf>
      <x:numFmt numFmtId="3" formatCode="#,##0"/>
    </x:dxf>
    <x:dxf>
      <x:numFmt numFmtId="14" formatCode="0.00%"/>
    </x:dxf>
    <x:dxf>
      <x:numFmt numFmtId="27" formatCode="m/d/yyyy\ h:mm"/>
    </x:dxf>
    <x:dxf>
      <x:numFmt numFmtId="2" formatCode="0.00"/>
    </x:dxf>
    <x:dxf>
      <x:numFmt numFmtId="1" formatCode="0"/>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0.00</rpv>
    </rSty>
    <rSty dxfid="6">
      <rpv i="0">0</rpv>
    </rSty>
    <rSty>
      <rpv i="2">1</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7F3786A-363D-43A3-A272-84685EB8CE9E}" name="Investments" displayName="Investments" ref="Q37:R42" totalsRowShown="0" headerRowDxfId="34" dataDxfId="33">
  <autoFilter ref="Q37:R42" xr:uid="{F7F3786A-363D-43A3-A272-84685EB8CE9E}"/>
  <tableColumns count="2">
    <tableColumn id="1" xr3:uid="{A0E14360-CDCD-4069-8A6A-9EE3C18ED10C}" name="Stock" dataDxfId="32"/>
    <tableColumn id="2" xr3:uid="{5348088B-B711-40E6-BD86-C130F184770A}" name="gains/loss" dataDxfId="3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6DE7F73-D5FF-4133-99BF-05805712698E}" name="ExpensesTable" displayName="ExpensesTable" ref="A3:D8" totalsRowShown="0" headerRowDxfId="30" dataDxfId="29">
  <tableColumns count="4">
    <tableColumn id="1" xr3:uid="{39BF2710-7D36-4722-AC76-2E35D9A2F1DF}" name="Date" dataDxfId="28"/>
    <tableColumn id="2" xr3:uid="{01581EB6-BDFB-44A7-AA7F-EA1D5324336B}" name="Item" dataDxfId="27"/>
    <tableColumn id="3" xr3:uid="{67592749-6873-4A60-B74A-13916A608AF8}" name="Category" dataDxfId="26"/>
    <tableColumn id="4" xr3:uid="{397DBC75-6369-4331-9EFE-511CB8461C4D}" name="Amount in $" dataDxfId="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B597EF-4E42-4AFE-ADD2-A696B25168F4}" name="Table2" displayName="Table2" ref="G3:G4" totalsRowShown="0" headerRowDxfId="24" dataDxfId="23">
  <autoFilter ref="G3:G4" xr:uid="{80B597EF-4E42-4AFE-ADD2-A696B25168F4}"/>
  <tableColumns count="1">
    <tableColumn id="1" xr3:uid="{055FFBD4-9CEB-4D83-8518-5DED9FB85987}" name="Balance in $" dataDxfId="22">
      <calculatedColumnFormula array="1">SUMIF(C:C, "Income", D:D)-SUMIF(C:C, "&lt;&gt;Income", D:D)-Table3[Total Contributed]</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970B98D-BB44-4642-9012-E0AB88163D84}" name="GoalTable" displayName="GoalTable" ref="A3:G7" totalsRowShown="0" headerRowDxfId="20" dataDxfId="19">
  <autoFilter ref="A3:G7" xr:uid="{96DE7F73-D5FF-4133-99BF-05805712698E}"/>
  <tableColumns count="7">
    <tableColumn id="1" xr3:uid="{BA9073B5-1B16-4F69-A2F1-B5598299D458}" name="Goal (Descending priority)" dataDxfId="18"/>
    <tableColumn id="2" xr3:uid="{419FB8B7-E3B9-4440-AB9F-22A53D0D6FB4}" name="Date To Be Completed" dataDxfId="17"/>
    <tableColumn id="3" xr3:uid="{63A20713-5D6A-4C10-AC1F-DCE8DC06C7B7}" name="Time left" dataDxfId="16"/>
    <tableColumn id="4" xr3:uid="{53C63DA4-D468-4A02-8C66-BD25A69C819C}" name="Initial Amount" dataDxfId="15"/>
    <tableColumn id="5" xr3:uid="{60303BF4-6AA9-4F34-A8CA-58D231C91D59}" name="Amount Remaining" dataDxfId="14"/>
    <tableColumn id="7" xr3:uid="{154CD0D5-E853-474D-B233-935D3D9E71BF}" name="Amount Contributed" dataDxfId="13"/>
    <tableColumn id="8" xr3:uid="{627E192D-FFBF-484F-8C93-EDEC2EFC054E}" name="Goal Progress" dataDxfId="12" dataCellStyle="Percent"/>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943628-2860-456C-83A7-68CEBD4FF773}" name="Table3" displayName="Table3" ref="K1:K2" totalsRowShown="0" headerRowDxfId="11" dataDxfId="10">
  <autoFilter ref="K1:K2" xr:uid="{07943628-2860-456C-83A7-68CEBD4FF773}"/>
  <tableColumns count="1">
    <tableColumn id="1" xr3:uid="{55179058-3D20-42C0-9463-B6A23BF62FBB}" name="Total Contributed" dataDxfId="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3DF5ED6-165B-074B-A161-BEB4E7979525}" name="Table5" displayName="Table5" ref="A4:G38" totalsRowShown="0" headerRowDxfId="8" dataDxfId="7">
  <autoFilter ref="A4:G38" xr:uid="{73DF5ED6-165B-074B-A161-BEB4E7979525}"/>
  <tableColumns count="7">
    <tableColumn id="1" xr3:uid="{AD48E4CD-49F7-5D41-87F5-40DCD0B0F465}" name="Stock" dataDxfId="6"/>
    <tableColumn id="2" xr3:uid="{EB1ED15D-E420-ED46-911D-AFE66A2D2C51}" name="Stock Ticker" dataDxfId="5"/>
    <tableColumn id="3" xr3:uid="{E1816099-F261-3D44-94AA-571E71851057}" name="Amount Invested" dataDxfId="4" dataCellStyle="Currency"/>
    <tableColumn id="4" xr3:uid="{D1008993-CDAF-5348-83CE-3589B8402B44}" name="Stock Price" dataDxfId="3">
      <calculatedColumnFormula array="1">_FV(Table5[[#This Row],[Stock]],"Price")</calculatedColumnFormula>
    </tableColumn>
    <tableColumn id="5" xr3:uid="{B0835F94-D902-E34C-BCA1-19EA94F40D97}" name="Percent Change" dataDxfId="2">
      <calculatedColumnFormula array="1">_FV(Table5[[#This Row],[Stock]],"Change (%)",TRUE)</calculatedColumnFormula>
    </tableColumn>
    <tableColumn id="6" xr3:uid="{16096D2F-5F2D-1047-A2E0-894AB0A65973}" name="Investment Value" dataDxfId="1"/>
    <tableColumn id="7" xr3:uid="{646D52C9-7323-764E-9DA8-3003DBBF3BD0}" name="Amount Gained/(Lost)" dataDxfId="0" dataCellStyle="Currency">
      <calculatedColumnFormula>Table5[[#This Row],[Amount Invested]]*Table5[[#This Row],[Percent Change]]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2.vml"/><Relationship Id="rId7"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7F02E-0645-4A40-8906-DF8AB3BA7637}">
  <sheetPr codeName="Sheet2"/>
  <dimension ref="A1:AA63"/>
  <sheetViews>
    <sheetView tabSelected="1" topLeftCell="B1" workbookViewId="0">
      <selection activeCell="Q47" sqref="Q47"/>
    </sheetView>
  </sheetViews>
  <sheetFormatPr defaultColWidth="8.75" defaultRowHeight="15"/>
  <cols>
    <col min="1" max="1" width="26.5" style="3" customWidth="1"/>
    <col min="2" max="2" width="11.5" style="3" customWidth="1"/>
    <col min="3" max="9" width="8.75" style="3"/>
    <col min="10" max="10" width="9.25" style="3" customWidth="1"/>
    <col min="11" max="11" width="8.75" style="3" hidden="1" customWidth="1"/>
    <col min="12" max="12" width="2.25" style="3" customWidth="1"/>
    <col min="13" max="16" width="8.75" style="3"/>
    <col min="17" max="17" width="11.5" style="3" customWidth="1"/>
    <col min="18" max="18" width="11.75" style="3" customWidth="1"/>
    <col min="19" max="23" width="8.75" style="3"/>
    <col min="24" max="24" width="9.875" style="3" customWidth="1"/>
    <col min="25" max="26" width="8.75" style="3"/>
    <col min="27" max="27" width="11.875" style="3" customWidth="1"/>
    <col min="28" max="16384" width="8.75" style="3"/>
  </cols>
  <sheetData>
    <row r="1" spans="1:24" s="1" customFormat="1" ht="88.5">
      <c r="A1" s="32" t="s">
        <v>0</v>
      </c>
      <c r="B1" s="32"/>
      <c r="C1" s="32"/>
      <c r="D1" s="32"/>
      <c r="E1" s="32"/>
      <c r="F1" s="32"/>
      <c r="G1" s="32"/>
      <c r="H1" s="32"/>
      <c r="I1" s="32"/>
      <c r="J1" s="32"/>
      <c r="K1" s="32"/>
      <c r="L1" s="32"/>
      <c r="M1" s="32"/>
      <c r="N1" s="32"/>
      <c r="O1" s="32"/>
      <c r="P1" s="32"/>
      <c r="Q1" s="32"/>
      <c r="R1" s="32"/>
      <c r="S1" s="32"/>
    </row>
    <row r="2" spans="1:24" ht="12" customHeight="1"/>
    <row r="3" spans="1:24" hidden="1"/>
    <row r="4" spans="1:24" hidden="1"/>
    <row r="5" spans="1:24" hidden="1"/>
    <row r="6" spans="1:24" hidden="1"/>
    <row r="7" spans="1:24" hidden="1"/>
    <row r="8" spans="1:24" hidden="1"/>
    <row r="9" spans="1:24" hidden="1"/>
    <row r="10" spans="1:24" hidden="1"/>
    <row r="11" spans="1:24" ht="11.25" customHeight="1"/>
    <row r="13" spans="1:24">
      <c r="C13" s="33"/>
      <c r="D13" s="33"/>
      <c r="E13" s="33"/>
      <c r="F13" s="33"/>
      <c r="G13" s="33"/>
      <c r="H13" s="33"/>
      <c r="I13" s="33"/>
      <c r="J13" s="33"/>
      <c r="K13" s="33"/>
      <c r="L13" s="33"/>
      <c r="Q13" s="34"/>
      <c r="R13" s="34"/>
      <c r="S13" s="34"/>
      <c r="T13" s="34"/>
      <c r="U13" s="34"/>
      <c r="V13" s="34"/>
      <c r="W13" s="34"/>
      <c r="X13" s="34"/>
    </row>
    <row r="14" spans="1:24">
      <c r="C14" s="33"/>
      <c r="D14" s="33"/>
      <c r="E14" s="33"/>
      <c r="F14" s="33"/>
      <c r="G14" s="33"/>
      <c r="H14" s="33"/>
      <c r="I14" s="33"/>
      <c r="J14" s="33"/>
      <c r="K14" s="33"/>
      <c r="L14" s="33"/>
      <c r="Q14" s="34"/>
      <c r="R14" s="34"/>
      <c r="S14" s="34"/>
      <c r="T14" s="34"/>
      <c r="U14" s="34"/>
      <c r="V14" s="34"/>
      <c r="W14" s="34"/>
      <c r="X14" s="34"/>
    </row>
    <row r="15" spans="1:24">
      <c r="C15" s="33"/>
      <c r="D15" s="33"/>
      <c r="E15" s="33"/>
      <c r="F15" s="33"/>
      <c r="G15" s="33"/>
      <c r="H15" s="33"/>
      <c r="I15" s="33"/>
      <c r="J15" s="33"/>
      <c r="K15" s="33"/>
      <c r="L15" s="33"/>
      <c r="Q15" s="34"/>
      <c r="R15" s="34"/>
      <c r="S15" s="34"/>
      <c r="T15" s="34"/>
      <c r="U15" s="34"/>
      <c r="V15" s="34"/>
      <c r="W15" s="34"/>
      <c r="X15" s="34"/>
    </row>
    <row r="16" spans="1:24">
      <c r="C16" s="33"/>
      <c r="D16" s="33"/>
      <c r="E16" s="33"/>
      <c r="F16" s="33"/>
      <c r="G16" s="33"/>
      <c r="H16" s="33"/>
      <c r="I16" s="33"/>
      <c r="J16" s="33"/>
      <c r="K16" s="33"/>
      <c r="L16" s="33"/>
      <c r="Q16" s="34"/>
      <c r="R16" s="34"/>
      <c r="S16" s="34"/>
      <c r="T16" s="34"/>
      <c r="U16" s="34"/>
      <c r="V16" s="34"/>
      <c r="W16" s="34"/>
      <c r="X16" s="34"/>
    </row>
    <row r="17" spans="3:24">
      <c r="C17" s="33"/>
      <c r="D17" s="33"/>
      <c r="E17" s="33"/>
      <c r="F17" s="33"/>
      <c r="G17" s="33"/>
      <c r="H17" s="33"/>
      <c r="I17" s="33"/>
      <c r="J17" s="33"/>
      <c r="K17" s="33"/>
      <c r="L17" s="33"/>
      <c r="Q17" s="34"/>
      <c r="R17" s="34"/>
      <c r="S17" s="34"/>
      <c r="T17" s="34"/>
      <c r="U17" s="34"/>
      <c r="V17" s="34"/>
      <c r="W17" s="34"/>
      <c r="X17" s="34"/>
    </row>
    <row r="18" spans="3:24">
      <c r="C18" s="33"/>
      <c r="D18" s="33"/>
      <c r="E18" s="33"/>
      <c r="F18" s="33"/>
      <c r="G18" s="33"/>
      <c r="H18" s="33"/>
      <c r="I18" s="33"/>
      <c r="J18" s="33"/>
      <c r="K18" s="33"/>
      <c r="L18" s="33"/>
      <c r="Q18" s="34"/>
      <c r="R18" s="34"/>
      <c r="S18" s="34"/>
      <c r="T18" s="34"/>
      <c r="U18" s="34"/>
      <c r="V18" s="34"/>
      <c r="W18" s="34"/>
      <c r="X18" s="34"/>
    </row>
    <row r="19" spans="3:24">
      <c r="C19" s="33"/>
      <c r="D19" s="33"/>
      <c r="E19" s="33"/>
      <c r="F19" s="33"/>
      <c r="G19" s="33"/>
      <c r="H19" s="33"/>
      <c r="I19" s="33"/>
      <c r="J19" s="33"/>
      <c r="K19" s="33"/>
      <c r="L19" s="33"/>
      <c r="Q19" s="34"/>
      <c r="R19" s="34"/>
      <c r="S19" s="34"/>
      <c r="T19" s="34"/>
      <c r="U19" s="34"/>
      <c r="V19" s="34"/>
      <c r="W19" s="34"/>
      <c r="X19" s="34"/>
    </row>
    <row r="20" spans="3:24">
      <c r="C20" s="33"/>
      <c r="D20" s="33"/>
      <c r="E20" s="33"/>
      <c r="F20" s="33"/>
      <c r="G20" s="33"/>
      <c r="H20" s="33"/>
      <c r="I20" s="33"/>
      <c r="J20" s="33"/>
      <c r="K20" s="33"/>
      <c r="L20" s="33"/>
      <c r="Q20" s="34"/>
      <c r="R20" s="34"/>
      <c r="S20" s="34"/>
      <c r="T20" s="34"/>
      <c r="U20" s="34"/>
      <c r="V20" s="34"/>
      <c r="W20" s="34"/>
      <c r="X20" s="34"/>
    </row>
    <row r="21" spans="3:24">
      <c r="C21" s="33"/>
      <c r="D21" s="33"/>
      <c r="E21" s="33"/>
      <c r="F21" s="33"/>
      <c r="G21" s="33"/>
      <c r="H21" s="33"/>
      <c r="I21" s="33"/>
      <c r="J21" s="33"/>
      <c r="K21" s="33"/>
      <c r="L21" s="33"/>
      <c r="Q21" s="34"/>
      <c r="R21" s="34"/>
      <c r="S21" s="34"/>
      <c r="T21" s="34"/>
      <c r="U21" s="34"/>
      <c r="V21" s="34"/>
      <c r="W21" s="34"/>
      <c r="X21" s="34"/>
    </row>
    <row r="22" spans="3:24">
      <c r="C22" s="33"/>
      <c r="D22" s="33"/>
      <c r="E22" s="33"/>
      <c r="F22" s="33"/>
      <c r="G22" s="33"/>
      <c r="H22" s="33"/>
      <c r="I22" s="33"/>
      <c r="J22" s="33"/>
      <c r="K22" s="33"/>
      <c r="L22" s="33"/>
      <c r="Q22" s="34"/>
      <c r="R22" s="34"/>
      <c r="S22" s="34"/>
      <c r="T22" s="34"/>
      <c r="U22" s="34"/>
      <c r="V22" s="34"/>
      <c r="W22" s="34"/>
      <c r="X22" s="34"/>
    </row>
    <row r="23" spans="3:24">
      <c r="C23" s="33"/>
      <c r="D23" s="33"/>
      <c r="E23" s="33"/>
      <c r="F23" s="33"/>
      <c r="G23" s="33"/>
      <c r="H23" s="33"/>
      <c r="I23" s="33"/>
      <c r="J23" s="33"/>
      <c r="K23" s="33"/>
      <c r="L23" s="33"/>
      <c r="Q23" s="34"/>
      <c r="R23" s="34"/>
      <c r="S23" s="34"/>
      <c r="T23" s="34"/>
      <c r="U23" s="34"/>
      <c r="V23" s="34"/>
      <c r="W23" s="34"/>
      <c r="X23" s="34"/>
    </row>
    <row r="24" spans="3:24">
      <c r="C24" s="33"/>
      <c r="D24" s="33"/>
      <c r="E24" s="33"/>
      <c r="F24" s="33"/>
      <c r="G24" s="33"/>
      <c r="H24" s="33"/>
      <c r="I24" s="33"/>
      <c r="J24" s="33"/>
      <c r="K24" s="33"/>
      <c r="L24" s="33"/>
      <c r="Q24" s="34"/>
      <c r="R24" s="34"/>
      <c r="S24" s="34"/>
      <c r="T24" s="34"/>
      <c r="U24" s="34"/>
      <c r="V24" s="34"/>
      <c r="W24" s="34"/>
      <c r="X24" s="34"/>
    </row>
    <row r="25" spans="3:24">
      <c r="C25" s="33"/>
      <c r="D25" s="33"/>
      <c r="E25" s="33"/>
      <c r="F25" s="33"/>
      <c r="G25" s="33"/>
      <c r="H25" s="33"/>
      <c r="I25" s="33"/>
      <c r="J25" s="33"/>
      <c r="K25" s="33"/>
      <c r="L25" s="33"/>
      <c r="Q25" s="34"/>
      <c r="R25" s="34"/>
      <c r="S25" s="34"/>
      <c r="T25" s="34"/>
      <c r="U25" s="34"/>
      <c r="V25" s="34"/>
      <c r="W25" s="34"/>
      <c r="X25" s="34"/>
    </row>
    <row r="26" spans="3:24">
      <c r="C26" s="33"/>
      <c r="D26" s="33"/>
      <c r="E26" s="33"/>
      <c r="F26" s="33"/>
      <c r="G26" s="33"/>
      <c r="H26" s="33"/>
      <c r="I26" s="33"/>
      <c r="J26" s="33"/>
      <c r="K26" s="33"/>
      <c r="L26" s="33"/>
      <c r="Q26" s="34"/>
      <c r="R26" s="34"/>
      <c r="S26" s="34"/>
      <c r="T26" s="34"/>
      <c r="U26" s="34"/>
      <c r="V26" s="34"/>
      <c r="W26" s="34"/>
      <c r="X26" s="34"/>
    </row>
    <row r="27" spans="3:24">
      <c r="C27" s="33"/>
      <c r="D27" s="33"/>
      <c r="E27" s="33"/>
      <c r="F27" s="33"/>
      <c r="G27" s="33"/>
      <c r="H27" s="33"/>
      <c r="I27" s="33"/>
      <c r="J27" s="33"/>
      <c r="K27" s="33"/>
      <c r="L27" s="33"/>
      <c r="Q27" s="34"/>
      <c r="R27" s="34"/>
      <c r="S27" s="34"/>
      <c r="T27" s="34"/>
      <c r="U27" s="34"/>
      <c r="V27" s="34"/>
      <c r="W27" s="34"/>
      <c r="X27" s="34"/>
    </row>
    <row r="28" spans="3:24">
      <c r="C28" s="33"/>
      <c r="D28" s="33"/>
      <c r="E28" s="33"/>
      <c r="F28" s="33"/>
      <c r="G28" s="33"/>
      <c r="H28" s="33"/>
      <c r="I28" s="33"/>
      <c r="J28" s="33"/>
      <c r="K28" s="33"/>
      <c r="L28" s="33"/>
      <c r="Q28" s="34"/>
      <c r="R28" s="34"/>
      <c r="S28" s="34"/>
      <c r="T28" s="34"/>
      <c r="U28" s="34"/>
      <c r="V28" s="34"/>
      <c r="W28" s="34"/>
      <c r="X28" s="34"/>
    </row>
    <row r="29" spans="3:24">
      <c r="C29" s="33"/>
      <c r="D29" s="33"/>
      <c r="E29" s="33"/>
      <c r="F29" s="33"/>
      <c r="G29" s="33"/>
      <c r="H29" s="33"/>
      <c r="I29" s="33"/>
      <c r="J29" s="33"/>
      <c r="K29" s="33"/>
      <c r="L29" s="33"/>
      <c r="Q29" s="34"/>
      <c r="R29" s="34"/>
      <c r="S29" s="34"/>
      <c r="T29" s="34"/>
      <c r="U29" s="34"/>
      <c r="V29" s="34"/>
      <c r="W29" s="34"/>
      <c r="X29" s="34"/>
    </row>
    <row r="30" spans="3:24">
      <c r="C30" s="33"/>
      <c r="D30" s="33"/>
      <c r="E30" s="33"/>
      <c r="F30" s="33"/>
      <c r="G30" s="33"/>
      <c r="H30" s="33"/>
      <c r="I30" s="33"/>
      <c r="J30" s="33"/>
      <c r="K30" s="33"/>
      <c r="L30" s="33"/>
      <c r="Q30" s="34"/>
      <c r="R30" s="34"/>
      <c r="S30" s="34"/>
      <c r="T30" s="34"/>
      <c r="U30" s="34"/>
      <c r="V30" s="34"/>
      <c r="W30" s="34"/>
      <c r="X30" s="34"/>
    </row>
    <row r="31" spans="3:24">
      <c r="C31" s="33"/>
      <c r="D31" s="33"/>
      <c r="E31" s="33"/>
      <c r="F31" s="33"/>
      <c r="G31" s="33"/>
      <c r="H31" s="33"/>
      <c r="I31" s="33"/>
      <c r="J31" s="33"/>
      <c r="K31" s="33"/>
      <c r="L31" s="33"/>
      <c r="Q31" s="34"/>
      <c r="R31" s="34"/>
      <c r="S31" s="34"/>
      <c r="T31" s="34"/>
      <c r="U31" s="34"/>
      <c r="V31" s="34"/>
      <c r="W31" s="34"/>
      <c r="X31" s="34"/>
    </row>
    <row r="32" spans="3:24">
      <c r="C32" s="33"/>
      <c r="D32" s="33"/>
      <c r="E32" s="33"/>
      <c r="F32" s="33"/>
      <c r="G32" s="33"/>
      <c r="H32" s="33"/>
      <c r="I32" s="33"/>
      <c r="J32" s="33"/>
      <c r="K32" s="33"/>
      <c r="L32" s="33"/>
      <c r="Q32" s="34"/>
      <c r="R32" s="34"/>
      <c r="S32" s="34"/>
      <c r="T32" s="34"/>
      <c r="U32" s="34"/>
      <c r="V32" s="34"/>
      <c r="W32" s="34"/>
      <c r="X32" s="34"/>
    </row>
    <row r="33" spans="3:27">
      <c r="C33" s="33"/>
      <c r="D33" s="33"/>
      <c r="E33" s="33"/>
      <c r="F33" s="33"/>
      <c r="G33" s="33"/>
      <c r="H33" s="33"/>
      <c r="I33" s="33"/>
      <c r="J33" s="33"/>
      <c r="K33" s="33"/>
      <c r="L33" s="33"/>
      <c r="Q33" s="34"/>
      <c r="R33" s="34"/>
      <c r="S33" s="34"/>
      <c r="T33" s="34"/>
      <c r="U33" s="34"/>
      <c r="V33" s="34"/>
      <c r="W33" s="34"/>
      <c r="X33" s="34"/>
    </row>
    <row r="34" spans="3:27">
      <c r="C34" s="33"/>
      <c r="D34" s="33"/>
      <c r="E34" s="33"/>
      <c r="F34" s="33"/>
      <c r="G34" s="33"/>
      <c r="H34" s="33"/>
      <c r="I34" s="33"/>
      <c r="J34" s="33"/>
      <c r="K34" s="33"/>
      <c r="L34" s="33"/>
      <c r="Q34" s="34"/>
      <c r="R34" s="34"/>
      <c r="S34" s="34"/>
      <c r="T34" s="34"/>
      <c r="U34" s="34"/>
      <c r="V34" s="34"/>
      <c r="W34" s="34"/>
      <c r="X34" s="34"/>
    </row>
    <row r="37" spans="3:27">
      <c r="C37" s="34"/>
      <c r="D37" s="34"/>
      <c r="E37" s="34"/>
      <c r="F37" s="34"/>
      <c r="G37" s="34"/>
      <c r="H37" s="34"/>
      <c r="I37" s="34"/>
      <c r="J37" s="34"/>
      <c r="K37" s="34"/>
      <c r="L37" s="34"/>
      <c r="M37" s="34"/>
      <c r="N37" s="34"/>
      <c r="O37" s="34"/>
      <c r="Q37" s="27" t="s">
        <v>1</v>
      </c>
      <c r="R37" s="27" t="s">
        <v>2</v>
      </c>
      <c r="T37" s="34"/>
      <c r="U37" s="34"/>
      <c r="V37" s="34"/>
      <c r="W37" s="34"/>
      <c r="X37" s="34"/>
      <c r="Y37" s="34"/>
      <c r="Z37" s="34"/>
      <c r="AA37" s="34"/>
    </row>
    <row r="38" spans="3:27">
      <c r="C38" s="34"/>
      <c r="D38" s="34"/>
      <c r="E38" s="34"/>
      <c r="F38" s="34"/>
      <c r="G38" s="34"/>
      <c r="H38" s="34"/>
      <c r="I38" s="34"/>
      <c r="J38" s="34"/>
      <c r="K38" s="34"/>
      <c r="L38" s="34"/>
      <c r="M38" s="34"/>
      <c r="N38" s="34"/>
      <c r="O38" s="34"/>
      <c r="Q38" s="1" t="s">
        <v>3</v>
      </c>
      <c r="R38" s="28">
        <v>43.87</v>
      </c>
      <c r="T38" s="34"/>
      <c r="U38" s="34"/>
      <c r="V38" s="34"/>
      <c r="W38" s="34"/>
      <c r="X38" s="34"/>
      <c r="Y38" s="34"/>
      <c r="Z38" s="34"/>
      <c r="AA38" s="34"/>
    </row>
    <row r="39" spans="3:27">
      <c r="C39" s="34"/>
      <c r="D39" s="34"/>
      <c r="E39" s="34"/>
      <c r="F39" s="34"/>
      <c r="G39" s="34"/>
      <c r="H39" s="34"/>
      <c r="I39" s="34"/>
      <c r="J39" s="34"/>
      <c r="K39" s="34"/>
      <c r="L39" s="34"/>
      <c r="M39" s="34"/>
      <c r="N39" s="34"/>
      <c r="O39" s="34"/>
      <c r="Q39" s="1" t="s">
        <v>4</v>
      </c>
      <c r="R39" s="28">
        <v>9.5299999999999994</v>
      </c>
      <c r="T39" s="34"/>
      <c r="U39" s="34"/>
      <c r="V39" s="34"/>
      <c r="W39" s="34"/>
      <c r="X39" s="34"/>
      <c r="Y39" s="34"/>
      <c r="Z39" s="34"/>
      <c r="AA39" s="34"/>
    </row>
    <row r="40" spans="3:27">
      <c r="C40" s="34"/>
      <c r="D40" s="34"/>
      <c r="E40" s="34"/>
      <c r="F40" s="34"/>
      <c r="G40" s="34"/>
      <c r="H40" s="34"/>
      <c r="I40" s="34"/>
      <c r="J40" s="34"/>
      <c r="K40" s="34"/>
      <c r="L40" s="34"/>
      <c r="M40" s="34"/>
      <c r="N40" s="34"/>
      <c r="O40" s="34"/>
      <c r="Q40" s="1" t="s">
        <v>5</v>
      </c>
      <c r="R40" s="28">
        <v>0.61</v>
      </c>
      <c r="T40" s="34"/>
      <c r="U40" s="34"/>
      <c r="V40" s="34"/>
      <c r="W40" s="34"/>
      <c r="X40" s="34"/>
      <c r="Y40" s="34"/>
      <c r="Z40" s="34"/>
      <c r="AA40" s="34"/>
    </row>
    <row r="41" spans="3:27">
      <c r="C41" s="34"/>
      <c r="D41" s="34"/>
      <c r="E41" s="34"/>
      <c r="F41" s="34"/>
      <c r="G41" s="34"/>
      <c r="H41" s="34"/>
      <c r="I41" s="34"/>
      <c r="J41" s="34"/>
      <c r="K41" s="34"/>
      <c r="L41" s="34"/>
      <c r="M41" s="34"/>
      <c r="N41" s="34"/>
      <c r="O41" s="34"/>
      <c r="P41" s="3" t="s">
        <v>6</v>
      </c>
      <c r="Q41" s="1" t="s">
        <v>7</v>
      </c>
      <c r="R41" s="28">
        <v>0.56000000000000005</v>
      </c>
      <c r="T41" s="34"/>
      <c r="U41" s="34"/>
      <c r="V41" s="34"/>
      <c r="W41" s="34"/>
      <c r="X41" s="34"/>
      <c r="Y41" s="34"/>
      <c r="Z41" s="34"/>
      <c r="AA41" s="34"/>
    </row>
    <row r="42" spans="3:27">
      <c r="C42" s="34"/>
      <c r="D42" s="34"/>
      <c r="E42" s="34"/>
      <c r="F42" s="34"/>
      <c r="G42" s="34"/>
      <c r="H42" s="34"/>
      <c r="I42" s="34"/>
      <c r="J42" s="34"/>
      <c r="K42" s="34"/>
      <c r="L42" s="34"/>
      <c r="M42" s="34"/>
      <c r="N42" s="34"/>
      <c r="O42" s="34"/>
      <c r="Q42" s="1" t="s">
        <v>8</v>
      </c>
      <c r="R42" s="28">
        <v>-1.43</v>
      </c>
      <c r="T42" s="34"/>
      <c r="U42" s="34"/>
      <c r="V42" s="34"/>
      <c r="W42" s="34"/>
      <c r="X42" s="34"/>
      <c r="Y42" s="34"/>
      <c r="Z42" s="34"/>
      <c r="AA42" s="34"/>
    </row>
    <row r="43" spans="3:27">
      <c r="C43" s="34"/>
      <c r="D43" s="34"/>
      <c r="E43" s="34"/>
      <c r="F43" s="34"/>
      <c r="G43" s="34"/>
      <c r="H43" s="34"/>
      <c r="I43" s="34"/>
      <c r="J43" s="34"/>
      <c r="K43" s="34"/>
      <c r="L43" s="34"/>
      <c r="M43" s="34"/>
      <c r="N43" s="34"/>
      <c r="O43" s="34"/>
      <c r="R43" s="29"/>
      <c r="T43" s="34"/>
      <c r="U43" s="34"/>
      <c r="V43" s="34"/>
      <c r="W43" s="34"/>
      <c r="X43" s="34"/>
      <c r="Y43" s="34"/>
      <c r="Z43" s="34"/>
      <c r="AA43" s="34"/>
    </row>
    <row r="44" spans="3:27">
      <c r="C44" s="34"/>
      <c r="D44" s="34"/>
      <c r="E44" s="34"/>
      <c r="F44" s="34"/>
      <c r="G44" s="34"/>
      <c r="H44" s="34"/>
      <c r="I44" s="34"/>
      <c r="J44" s="34"/>
      <c r="K44" s="34"/>
      <c r="L44" s="34"/>
      <c r="M44" s="34"/>
      <c r="N44" s="34"/>
      <c r="O44" s="34"/>
      <c r="T44" s="34"/>
      <c r="U44" s="34"/>
      <c r="V44" s="34"/>
      <c r="W44" s="34"/>
      <c r="X44" s="34"/>
      <c r="Y44" s="34"/>
      <c r="Z44" s="34"/>
      <c r="AA44" s="34"/>
    </row>
    <row r="45" spans="3:27">
      <c r="C45" s="34"/>
      <c r="D45" s="34"/>
      <c r="E45" s="34"/>
      <c r="F45" s="34"/>
      <c r="G45" s="34"/>
      <c r="H45" s="34"/>
      <c r="I45" s="34"/>
      <c r="J45" s="34"/>
      <c r="K45" s="34"/>
      <c r="L45" s="34"/>
      <c r="M45" s="34"/>
      <c r="N45" s="34"/>
      <c r="O45" s="34"/>
      <c r="T45" s="34"/>
      <c r="U45" s="34"/>
      <c r="V45" s="34"/>
      <c r="W45" s="34"/>
      <c r="X45" s="34"/>
      <c r="Y45" s="34"/>
      <c r="Z45" s="34"/>
      <c r="AA45" s="34"/>
    </row>
    <row r="46" spans="3:27">
      <c r="C46" s="34"/>
      <c r="D46" s="34"/>
      <c r="E46" s="34"/>
      <c r="F46" s="34"/>
      <c r="G46" s="34"/>
      <c r="H46" s="34"/>
      <c r="I46" s="34"/>
      <c r="J46" s="34"/>
      <c r="K46" s="34"/>
      <c r="L46" s="34"/>
      <c r="M46" s="34"/>
      <c r="N46" s="34"/>
      <c r="O46" s="34"/>
      <c r="T46" s="34"/>
      <c r="U46" s="34"/>
      <c r="V46" s="34"/>
      <c r="W46" s="34"/>
      <c r="X46" s="34"/>
      <c r="Y46" s="34"/>
      <c r="Z46" s="34"/>
      <c r="AA46" s="34"/>
    </row>
    <row r="47" spans="3:27">
      <c r="C47" s="34"/>
      <c r="D47" s="34"/>
      <c r="E47" s="34"/>
      <c r="F47" s="34"/>
      <c r="G47" s="34"/>
      <c r="H47" s="34"/>
      <c r="I47" s="34"/>
      <c r="J47" s="34"/>
      <c r="K47" s="34"/>
      <c r="L47" s="34"/>
      <c r="M47" s="34"/>
      <c r="N47" s="34"/>
      <c r="O47" s="34"/>
      <c r="T47" s="34"/>
      <c r="U47" s="34"/>
      <c r="V47" s="34"/>
      <c r="W47" s="34"/>
      <c r="X47" s="34"/>
      <c r="Y47" s="34"/>
      <c r="Z47" s="34"/>
      <c r="AA47" s="34"/>
    </row>
    <row r="48" spans="3:27">
      <c r="C48" s="34"/>
      <c r="D48" s="34"/>
      <c r="E48" s="34"/>
      <c r="F48" s="34"/>
      <c r="G48" s="34"/>
      <c r="H48" s="34"/>
      <c r="I48" s="34"/>
      <c r="J48" s="34"/>
      <c r="K48" s="34"/>
      <c r="L48" s="34"/>
      <c r="M48" s="34"/>
      <c r="N48" s="34"/>
      <c r="O48" s="34"/>
      <c r="T48" s="34"/>
      <c r="U48" s="34"/>
      <c r="V48" s="34"/>
      <c r="W48" s="34"/>
      <c r="X48" s="34"/>
      <c r="Y48" s="34"/>
      <c r="Z48" s="34"/>
      <c r="AA48" s="34"/>
    </row>
    <row r="49" spans="3:27">
      <c r="C49" s="34"/>
      <c r="D49" s="34"/>
      <c r="E49" s="34"/>
      <c r="F49" s="34"/>
      <c r="G49" s="34"/>
      <c r="H49" s="34"/>
      <c r="I49" s="34"/>
      <c r="J49" s="34"/>
      <c r="K49" s="34"/>
      <c r="L49" s="34"/>
      <c r="M49" s="34"/>
      <c r="N49" s="34"/>
      <c r="O49" s="34"/>
      <c r="T49" s="34"/>
      <c r="U49" s="34"/>
      <c r="V49" s="34"/>
      <c r="W49" s="34"/>
      <c r="X49" s="34"/>
      <c r="Y49" s="34"/>
      <c r="Z49" s="34"/>
      <c r="AA49" s="34"/>
    </row>
    <row r="50" spans="3:27">
      <c r="C50" s="34"/>
      <c r="D50" s="34"/>
      <c r="E50" s="34"/>
      <c r="F50" s="34"/>
      <c r="G50" s="34"/>
      <c r="H50" s="34"/>
      <c r="I50" s="34"/>
      <c r="J50" s="34"/>
      <c r="K50" s="34"/>
      <c r="L50" s="34"/>
      <c r="M50" s="34"/>
      <c r="N50" s="34"/>
      <c r="O50" s="34"/>
      <c r="T50" s="34"/>
      <c r="U50" s="34"/>
      <c r="V50" s="34"/>
      <c r="W50" s="34"/>
      <c r="X50" s="34"/>
      <c r="Y50" s="34"/>
      <c r="Z50" s="34"/>
      <c r="AA50" s="34"/>
    </row>
    <row r="51" spans="3:27">
      <c r="C51" s="34"/>
      <c r="D51" s="34"/>
      <c r="E51" s="34"/>
      <c r="F51" s="34"/>
      <c r="G51" s="34"/>
      <c r="H51" s="34"/>
      <c r="I51" s="34"/>
      <c r="J51" s="34"/>
      <c r="K51" s="34"/>
      <c r="L51" s="34"/>
      <c r="M51" s="34"/>
      <c r="N51" s="34"/>
      <c r="O51" s="34"/>
      <c r="T51" s="34"/>
      <c r="U51" s="34"/>
      <c r="V51" s="34"/>
      <c r="W51" s="34"/>
      <c r="X51" s="34"/>
      <c r="Y51" s="34"/>
      <c r="Z51" s="34"/>
      <c r="AA51" s="34"/>
    </row>
    <row r="52" spans="3:27">
      <c r="C52" s="34"/>
      <c r="D52" s="34"/>
      <c r="E52" s="34"/>
      <c r="F52" s="34"/>
      <c r="G52" s="34"/>
      <c r="H52" s="34"/>
      <c r="I52" s="34"/>
      <c r="J52" s="34"/>
      <c r="K52" s="34"/>
      <c r="L52" s="34"/>
      <c r="M52" s="34"/>
      <c r="N52" s="34"/>
      <c r="O52" s="34"/>
      <c r="T52" s="34"/>
      <c r="U52" s="34"/>
      <c r="V52" s="34"/>
      <c r="W52" s="34"/>
      <c r="X52" s="34"/>
      <c r="Y52" s="34"/>
      <c r="Z52" s="34"/>
      <c r="AA52" s="34"/>
    </row>
    <row r="53" spans="3:27">
      <c r="C53" s="34"/>
      <c r="D53" s="34"/>
      <c r="E53" s="34"/>
      <c r="F53" s="34"/>
      <c r="G53" s="34"/>
      <c r="H53" s="34"/>
      <c r="I53" s="34"/>
      <c r="J53" s="34"/>
      <c r="K53" s="34"/>
      <c r="L53" s="34"/>
      <c r="M53" s="34"/>
      <c r="N53" s="34"/>
      <c r="O53" s="34"/>
      <c r="T53" s="34"/>
      <c r="U53" s="34"/>
      <c r="V53" s="34"/>
      <c r="W53" s="34"/>
      <c r="X53" s="34"/>
      <c r="Y53" s="34"/>
      <c r="Z53" s="34"/>
      <c r="AA53" s="34"/>
    </row>
    <row r="54" spans="3:27">
      <c r="C54" s="34"/>
      <c r="D54" s="34"/>
      <c r="E54" s="34"/>
      <c r="F54" s="34"/>
      <c r="G54" s="34"/>
      <c r="H54" s="34"/>
      <c r="I54" s="34"/>
      <c r="J54" s="34"/>
      <c r="K54" s="34"/>
      <c r="L54" s="34"/>
      <c r="M54" s="34"/>
      <c r="N54" s="34"/>
      <c r="O54" s="34"/>
      <c r="T54" s="34"/>
      <c r="U54" s="34"/>
      <c r="V54" s="34"/>
      <c r="W54" s="34"/>
      <c r="X54" s="34"/>
      <c r="Y54" s="34"/>
      <c r="Z54" s="34"/>
      <c r="AA54" s="34"/>
    </row>
    <row r="55" spans="3:27">
      <c r="C55" s="34"/>
      <c r="D55" s="34"/>
      <c r="E55" s="34"/>
      <c r="F55" s="34"/>
      <c r="G55" s="34"/>
      <c r="H55" s="34"/>
      <c r="I55" s="34"/>
      <c r="J55" s="34"/>
      <c r="K55" s="34"/>
      <c r="L55" s="34"/>
      <c r="M55" s="34"/>
      <c r="N55" s="34"/>
      <c r="O55" s="34"/>
      <c r="T55" s="34"/>
      <c r="U55" s="34"/>
      <c r="V55" s="34"/>
      <c r="W55" s="34"/>
      <c r="X55" s="34"/>
      <c r="Y55" s="34"/>
      <c r="Z55" s="34"/>
      <c r="AA55" s="34"/>
    </row>
    <row r="56" spans="3:27">
      <c r="C56" s="34"/>
      <c r="D56" s="34"/>
      <c r="E56" s="34"/>
      <c r="F56" s="34"/>
      <c r="G56" s="34"/>
      <c r="H56" s="34"/>
      <c r="I56" s="34"/>
      <c r="J56" s="34"/>
      <c r="K56" s="34"/>
      <c r="L56" s="34"/>
      <c r="M56" s="34"/>
      <c r="N56" s="34"/>
      <c r="O56" s="34"/>
      <c r="R56" s="3" t="s">
        <v>9</v>
      </c>
      <c r="T56" s="34"/>
      <c r="U56" s="34"/>
      <c r="V56" s="34"/>
      <c r="W56" s="34"/>
      <c r="X56" s="34"/>
      <c r="Y56" s="34"/>
      <c r="Z56" s="34"/>
      <c r="AA56" s="34"/>
    </row>
    <row r="57" spans="3:27">
      <c r="C57" s="34"/>
      <c r="D57" s="34"/>
      <c r="E57" s="34"/>
      <c r="F57" s="34"/>
      <c r="G57" s="34"/>
      <c r="H57" s="34"/>
      <c r="I57" s="34"/>
      <c r="J57" s="34"/>
      <c r="K57" s="34"/>
      <c r="L57" s="34"/>
      <c r="M57" s="34"/>
      <c r="N57" s="34"/>
      <c r="O57" s="34"/>
      <c r="T57" s="34"/>
      <c r="U57" s="34"/>
      <c r="V57" s="34"/>
      <c r="W57" s="34"/>
      <c r="X57" s="34"/>
      <c r="Y57" s="34"/>
      <c r="Z57" s="34"/>
      <c r="AA57" s="34"/>
    </row>
    <row r="58" spans="3:27">
      <c r="C58" s="34"/>
      <c r="D58" s="34"/>
      <c r="E58" s="34"/>
      <c r="F58" s="34"/>
      <c r="G58" s="34"/>
      <c r="H58" s="34"/>
      <c r="I58" s="34"/>
      <c r="J58" s="34"/>
      <c r="K58" s="34"/>
      <c r="L58" s="34"/>
      <c r="M58" s="34"/>
      <c r="N58" s="34"/>
      <c r="O58" s="34"/>
      <c r="T58" s="34"/>
      <c r="U58" s="34"/>
      <c r="V58" s="34"/>
      <c r="W58" s="34"/>
      <c r="X58" s="34"/>
      <c r="Y58" s="34"/>
      <c r="Z58" s="34"/>
      <c r="AA58" s="34"/>
    </row>
    <row r="59" spans="3:27">
      <c r="C59" s="34"/>
      <c r="D59" s="34"/>
      <c r="E59" s="34"/>
      <c r="F59" s="34"/>
      <c r="G59" s="34"/>
      <c r="H59" s="34"/>
      <c r="I59" s="34"/>
      <c r="J59" s="34"/>
      <c r="K59" s="34"/>
      <c r="L59" s="34"/>
      <c r="M59" s="34"/>
      <c r="N59" s="34"/>
      <c r="O59" s="34"/>
      <c r="T59" s="34"/>
      <c r="U59" s="34"/>
      <c r="V59" s="34"/>
      <c r="W59" s="34"/>
      <c r="X59" s="34"/>
      <c r="Y59" s="34"/>
      <c r="Z59" s="34"/>
      <c r="AA59" s="34"/>
    </row>
    <row r="60" spans="3:27">
      <c r="C60" s="34"/>
      <c r="D60" s="34"/>
      <c r="E60" s="34"/>
      <c r="F60" s="34"/>
      <c r="G60" s="34"/>
      <c r="H60" s="34"/>
      <c r="I60" s="34"/>
      <c r="J60" s="34"/>
      <c r="K60" s="34"/>
      <c r="L60" s="34"/>
      <c r="M60" s="34"/>
      <c r="N60" s="34"/>
      <c r="O60" s="34"/>
      <c r="T60" s="34"/>
      <c r="U60" s="34"/>
      <c r="V60" s="34"/>
      <c r="W60" s="34"/>
      <c r="X60" s="34"/>
      <c r="Y60" s="34"/>
      <c r="Z60" s="34"/>
      <c r="AA60" s="34"/>
    </row>
    <row r="61" spans="3:27">
      <c r="C61" s="34"/>
      <c r="D61" s="34"/>
      <c r="E61" s="34"/>
      <c r="F61" s="34"/>
      <c r="G61" s="34"/>
      <c r="H61" s="34"/>
      <c r="I61" s="34"/>
      <c r="J61" s="34"/>
      <c r="K61" s="34"/>
      <c r="L61" s="34"/>
      <c r="M61" s="34"/>
      <c r="N61" s="34"/>
      <c r="O61" s="34"/>
      <c r="T61" s="34"/>
      <c r="U61" s="34"/>
      <c r="V61" s="34"/>
      <c r="W61" s="34"/>
      <c r="X61" s="34"/>
      <c r="Y61" s="34"/>
      <c r="Z61" s="34"/>
      <c r="AA61" s="34"/>
    </row>
    <row r="62" spans="3:27">
      <c r="C62" s="34"/>
      <c r="D62" s="34"/>
      <c r="E62" s="34"/>
      <c r="F62" s="34"/>
      <c r="G62" s="34"/>
      <c r="H62" s="34"/>
      <c r="I62" s="34"/>
      <c r="J62" s="34"/>
      <c r="K62" s="34"/>
      <c r="L62" s="34"/>
      <c r="M62" s="34"/>
      <c r="N62" s="34"/>
      <c r="O62" s="34"/>
      <c r="T62" s="34"/>
      <c r="U62" s="34"/>
      <c r="V62" s="34"/>
      <c r="W62" s="34"/>
      <c r="X62" s="34"/>
      <c r="Y62" s="34"/>
      <c r="Z62" s="34"/>
      <c r="AA62" s="34"/>
    </row>
    <row r="63" spans="3:27">
      <c r="C63" s="34"/>
      <c r="D63" s="34"/>
      <c r="E63" s="34"/>
      <c r="F63" s="34"/>
      <c r="G63" s="34"/>
      <c r="H63" s="34"/>
      <c r="I63" s="34"/>
      <c r="J63" s="34"/>
      <c r="K63" s="34"/>
      <c r="L63" s="34"/>
      <c r="M63" s="34"/>
      <c r="N63" s="34"/>
      <c r="O63" s="34"/>
      <c r="T63" s="34"/>
      <c r="U63" s="34"/>
      <c r="V63" s="34"/>
      <c r="W63" s="34"/>
      <c r="X63" s="34"/>
      <c r="Y63" s="34"/>
      <c r="Z63" s="34"/>
      <c r="AA63" s="34"/>
    </row>
  </sheetData>
  <mergeCells count="5">
    <mergeCell ref="A1:S1"/>
    <mergeCell ref="C13:L34"/>
    <mergeCell ref="Q13:X34"/>
    <mergeCell ref="T37:AA63"/>
    <mergeCell ref="C37:O63"/>
  </mergeCells>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96C6C-31F6-5D4C-88CA-56D377A01DAE}">
  <sheetPr codeName="Sheet1"/>
  <dimension ref="A1:P16"/>
  <sheetViews>
    <sheetView workbookViewId="0">
      <selection activeCell="C16" sqref="C16"/>
    </sheetView>
  </sheetViews>
  <sheetFormatPr defaultColWidth="11" defaultRowHeight="15"/>
  <cols>
    <col min="1" max="1" width="39.5" style="3" customWidth="1"/>
    <col min="2" max="2" width="24.5" style="3" customWidth="1"/>
    <col min="3" max="3" width="22.125" style="3" customWidth="1"/>
    <col min="4" max="4" width="23" style="3" customWidth="1"/>
    <col min="5" max="5" width="22.375" style="3" customWidth="1"/>
    <col min="6" max="6" width="11" style="3"/>
    <col min="7" max="7" width="18.5" style="3" customWidth="1"/>
    <col min="8" max="16384" width="11" style="3"/>
  </cols>
  <sheetData>
    <row r="1" spans="1:16" s="1" customFormat="1" ht="59.25">
      <c r="A1" s="35" t="s">
        <v>10</v>
      </c>
      <c r="B1" s="35"/>
      <c r="C1" s="35"/>
      <c r="D1" s="35"/>
      <c r="E1" s="35"/>
      <c r="F1" s="35"/>
      <c r="G1" s="1" t="s">
        <v>11</v>
      </c>
      <c r="H1" s="1" t="s">
        <v>11</v>
      </c>
      <c r="I1" s="1" t="s">
        <v>11</v>
      </c>
      <c r="J1" s="1" t="s">
        <v>11</v>
      </c>
      <c r="K1" s="1" t="s">
        <v>11</v>
      </c>
      <c r="L1" s="1" t="s">
        <v>11</v>
      </c>
      <c r="M1" s="1" t="s">
        <v>11</v>
      </c>
      <c r="N1" s="1" t="s">
        <v>11</v>
      </c>
      <c r="O1" s="1" t="s">
        <v>11</v>
      </c>
      <c r="P1" s="1" t="s">
        <v>11</v>
      </c>
    </row>
    <row r="3" spans="1:16">
      <c r="A3" s="20" t="s">
        <v>12</v>
      </c>
      <c r="B3" s="20" t="s">
        <v>13</v>
      </c>
      <c r="C3" s="20" t="s">
        <v>14</v>
      </c>
      <c r="D3" s="20" t="s">
        <v>15</v>
      </c>
      <c r="G3" s="8" t="s">
        <v>16</v>
      </c>
    </row>
    <row r="4" spans="1:16" ht="15.75">
      <c r="A4" s="10">
        <v>45992</v>
      </c>
      <c r="B4" s="16" t="s">
        <v>17</v>
      </c>
      <c r="C4" s="16" t="s">
        <v>18</v>
      </c>
      <c r="D4" s="16">
        <v>100</v>
      </c>
      <c r="E4" s="6"/>
      <c r="G4" s="18" cm="1">
        <f t="array" ref="G4">SUMIF(C:C, "Income", D:D)-SUMIF(C:C, "&lt;&gt;Income", D:D)-Table3[Total Contributed]</f>
        <v>-830</v>
      </c>
    </row>
    <row r="5" spans="1:16" ht="15.75">
      <c r="A5" s="10">
        <v>45627</v>
      </c>
      <c r="B5" s="16" t="s">
        <v>19</v>
      </c>
      <c r="C5" s="16" t="s">
        <v>20</v>
      </c>
      <c r="D5" s="16">
        <v>200</v>
      </c>
    </row>
    <row r="6" spans="1:16" ht="15.75">
      <c r="A6" s="10">
        <v>45638</v>
      </c>
      <c r="B6" s="16" t="s">
        <v>21</v>
      </c>
      <c r="C6" s="16" t="s">
        <v>22</v>
      </c>
      <c r="D6" s="16">
        <v>100</v>
      </c>
    </row>
    <row r="7" spans="1:16" ht="15.75">
      <c r="A7" s="10">
        <v>45577</v>
      </c>
      <c r="B7" s="16" t="s">
        <v>19</v>
      </c>
      <c r="C7" s="16" t="s">
        <v>20</v>
      </c>
      <c r="D7" s="16">
        <v>100</v>
      </c>
    </row>
    <row r="8" spans="1:16" ht="15.75">
      <c r="A8" s="10">
        <v>45700</v>
      </c>
      <c r="B8" s="16" t="s">
        <v>23</v>
      </c>
      <c r="C8" s="16" t="s">
        <v>24</v>
      </c>
      <c r="D8" s="16">
        <v>100</v>
      </c>
    </row>
    <row r="9" spans="1:16" ht="15.75">
      <c r="A9" s="30"/>
      <c r="B9" s="6"/>
      <c r="C9" s="6"/>
      <c r="D9" s="6"/>
    </row>
    <row r="10" spans="1:16" ht="15.75">
      <c r="A10" s="30"/>
      <c r="B10" s="6"/>
      <c r="C10" s="6"/>
      <c r="D10" s="6"/>
    </row>
    <row r="11" spans="1:16" ht="15.75">
      <c r="A11" s="19"/>
    </row>
    <row r="12" spans="1:16" ht="15.75">
      <c r="A12" s="19"/>
    </row>
    <row r="13" spans="1:16" ht="15.75">
      <c r="A13" s="19"/>
    </row>
    <row r="14" spans="1:16" ht="15.75">
      <c r="A14" s="7"/>
    </row>
    <row r="15" spans="1:16" ht="15.75">
      <c r="A15" s="7"/>
    </row>
    <row r="16" spans="1:16" ht="15.75">
      <c r="A16" s="7"/>
    </row>
  </sheetData>
  <mergeCells count="1">
    <mergeCell ref="A1:F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owClearDataForm">
                <anchor moveWithCells="1" sizeWithCells="1">
                  <from>
                    <xdr:col>4</xdr:col>
                    <xdr:colOff>542925</xdr:colOff>
                    <xdr:row>1</xdr:row>
                    <xdr:rowOff>142875</xdr:rowOff>
                  </from>
                  <to>
                    <xdr:col>5</xdr:col>
                    <xdr:colOff>533400</xdr:colOff>
                    <xdr:row>4</xdr:row>
                    <xdr:rowOff>0</xdr:rowOff>
                  </to>
                </anchor>
              </controlPr>
            </control>
          </mc:Choice>
        </mc:AlternateContent>
        <mc:AlternateContent xmlns:mc="http://schemas.openxmlformats.org/markup-compatibility/2006">
          <mc:Choice Requires="x14">
            <control shapeId="1030" r:id="rId5" name="Button 6">
              <controlPr defaultSize="0" print="0" autoFill="0" autoPict="0" macro="[0]!ShowInputForm">
                <anchor moveWithCells="1" sizeWithCells="1">
                  <from>
                    <xdr:col>4</xdr:col>
                    <xdr:colOff>533400</xdr:colOff>
                    <xdr:row>5</xdr:row>
                    <xdr:rowOff>9525</xdr:rowOff>
                  </from>
                  <to>
                    <xdr:col>5</xdr:col>
                    <xdr:colOff>542925</xdr:colOff>
                    <xdr:row>7</xdr:row>
                    <xdr:rowOff>190500</xdr:rowOff>
                  </to>
                </anchor>
              </controlPr>
            </control>
          </mc:Choice>
        </mc:AlternateContent>
      </controls>
    </mc:Choice>
  </mc:AlternateContent>
  <tableParts count="2">
    <tablePart r:id="rId6"/>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54F36-6D26-4791-B935-8F153B8CACDC}">
  <sheetPr codeName="Sheet3"/>
  <dimension ref="A1:P23"/>
  <sheetViews>
    <sheetView workbookViewId="0">
      <selection activeCell="J27" sqref="J27"/>
    </sheetView>
  </sheetViews>
  <sheetFormatPr defaultColWidth="11" defaultRowHeight="15"/>
  <cols>
    <col min="1" max="1" width="39.5" style="3" customWidth="1"/>
    <col min="2" max="2" width="24.5" style="3" customWidth="1"/>
    <col min="3" max="3" width="22.125" style="3" customWidth="1"/>
    <col min="4" max="4" width="23" style="3" customWidth="1"/>
    <col min="5" max="5" width="23.75" style="3" customWidth="1"/>
    <col min="6" max="6" width="24.75" style="3" customWidth="1"/>
    <col min="7" max="7" width="16.125" style="5" customWidth="1"/>
    <col min="8" max="10" width="11" style="3"/>
    <col min="11" max="11" width="28.125" style="3" customWidth="1"/>
    <col min="12" max="16384" width="11" style="3"/>
  </cols>
  <sheetData>
    <row r="1" spans="1:16" s="1" customFormat="1" ht="59.25">
      <c r="A1" s="35" t="s">
        <v>25</v>
      </c>
      <c r="B1" s="35"/>
      <c r="C1" s="35"/>
      <c r="D1" s="35"/>
      <c r="E1" s="35"/>
      <c r="F1" s="35"/>
      <c r="G1" s="2" t="s">
        <v>11</v>
      </c>
      <c r="H1" s="1" t="s">
        <v>11</v>
      </c>
      <c r="I1" s="1" t="s">
        <v>11</v>
      </c>
      <c r="J1" s="1" t="s">
        <v>11</v>
      </c>
      <c r="K1" s="31" t="s">
        <v>26</v>
      </c>
      <c r="L1" s="1" t="s">
        <v>11</v>
      </c>
      <c r="M1" s="1" t="s">
        <v>11</v>
      </c>
      <c r="N1" s="1" t="s">
        <v>11</v>
      </c>
      <c r="O1" s="1" t="s">
        <v>11</v>
      </c>
      <c r="P1" s="1" t="s">
        <v>11</v>
      </c>
    </row>
    <row r="2" spans="1:16" ht="15.75">
      <c r="B2" s="4"/>
      <c r="E2" s="3">
        <v>0</v>
      </c>
      <c r="F2" s="3">
        <v>0</v>
      </c>
      <c r="K2" s="17">
        <v>430</v>
      </c>
    </row>
    <row r="3" spans="1:16" ht="30.75" customHeight="1">
      <c r="A3" s="31" t="s">
        <v>27</v>
      </c>
      <c r="B3" s="31" t="s">
        <v>28</v>
      </c>
      <c r="C3" s="31" t="s">
        <v>29</v>
      </c>
      <c r="D3" s="31" t="s">
        <v>30</v>
      </c>
      <c r="E3" s="31" t="s">
        <v>31</v>
      </c>
      <c r="F3" s="8" t="s">
        <v>32</v>
      </c>
      <c r="G3" s="9" t="s">
        <v>33</v>
      </c>
    </row>
    <row r="4" spans="1:16" ht="21" customHeight="1">
      <c r="A4" s="10" t="s">
        <v>34</v>
      </c>
      <c r="B4" s="11">
        <v>45992</v>
      </c>
      <c r="C4" s="12" t="s">
        <v>35</v>
      </c>
      <c r="D4" s="12">
        <v>1000</v>
      </c>
      <c r="E4" s="13">
        <v>690</v>
      </c>
      <c r="F4" s="13">
        <v>310</v>
      </c>
      <c r="G4" s="14">
        <v>0.31</v>
      </c>
    </row>
    <row r="5" spans="1:16" ht="20.25" hidden="1" customHeight="1">
      <c r="A5" s="10" t="s">
        <v>36</v>
      </c>
      <c r="B5" s="15">
        <v>45624</v>
      </c>
      <c r="C5" s="16" t="s">
        <v>37</v>
      </c>
      <c r="D5" s="16">
        <v>10</v>
      </c>
      <c r="E5" s="13">
        <v>0</v>
      </c>
      <c r="F5" s="13">
        <v>10</v>
      </c>
      <c r="G5" s="14">
        <v>1</v>
      </c>
    </row>
    <row r="6" spans="1:16" ht="19.5" customHeight="1">
      <c r="A6" s="10" t="s">
        <v>38</v>
      </c>
      <c r="B6" s="15">
        <v>45962</v>
      </c>
      <c r="C6" s="16" t="s">
        <v>39</v>
      </c>
      <c r="D6" s="16">
        <v>10000</v>
      </c>
      <c r="E6" s="13">
        <v>9900</v>
      </c>
      <c r="F6" s="13">
        <v>100</v>
      </c>
      <c r="G6" s="14">
        <v>0.01</v>
      </c>
    </row>
    <row r="7" spans="1:16" ht="18.75" customHeight="1">
      <c r="A7" s="26" t="s">
        <v>40</v>
      </c>
      <c r="B7" s="15">
        <v>46001</v>
      </c>
      <c r="C7" s="16" t="s">
        <v>41</v>
      </c>
      <c r="D7" s="16">
        <v>100</v>
      </c>
      <c r="E7" s="13">
        <v>90</v>
      </c>
      <c r="F7" s="13">
        <v>10</v>
      </c>
      <c r="G7" s="14">
        <v>0.1</v>
      </c>
    </row>
    <row r="8" spans="1:16" ht="18" customHeight="1"/>
    <row r="9" spans="1:16" ht="17.25" customHeight="1"/>
    <row r="23" spans="4:4">
      <c r="D23" s="3" t="s">
        <v>42</v>
      </c>
    </row>
  </sheetData>
  <mergeCells count="1">
    <mergeCell ref="A1:F1"/>
  </mergeCells>
  <conditionalFormatting sqref="G3">
    <cfRule type="cellIs" dxfId="21" priority="1" operator="equal">
      <formula>"""Completed'"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4">
              <controlPr defaultSize="0" print="0" autoFill="0" autoPict="0" macro="[0]!ShowGoalContributions">
                <anchor moveWithCells="1" sizeWithCells="1">
                  <from>
                    <xdr:col>10</xdr:col>
                    <xdr:colOff>38100</xdr:colOff>
                    <xdr:row>9</xdr:row>
                    <xdr:rowOff>38100</xdr:rowOff>
                  </from>
                  <to>
                    <xdr:col>10</xdr:col>
                    <xdr:colOff>2352675</xdr:colOff>
                    <xdr:row>12</xdr:row>
                    <xdr:rowOff>114300</xdr:rowOff>
                  </to>
                </anchor>
              </controlPr>
            </control>
          </mc:Choice>
        </mc:AlternateContent>
        <mc:AlternateContent xmlns:mc="http://schemas.openxmlformats.org/markup-compatibility/2006">
          <mc:Choice Requires="x14">
            <control shapeId="3078" r:id="rId5" name="Button 6">
              <controlPr defaultSize="0" print="0" autoFill="0" autoPict="0" macro="[0]!ShowEnterGoals">
                <anchor moveWithCells="1" sizeWithCells="1">
                  <from>
                    <xdr:col>10</xdr:col>
                    <xdr:colOff>66675</xdr:colOff>
                    <xdr:row>2</xdr:row>
                    <xdr:rowOff>142875</xdr:rowOff>
                  </from>
                  <to>
                    <xdr:col>10</xdr:col>
                    <xdr:colOff>2371725</xdr:colOff>
                    <xdr:row>8</xdr:row>
                    <xdr:rowOff>38100</xdr:rowOff>
                  </to>
                </anchor>
              </controlPr>
            </control>
          </mc:Choice>
        </mc:AlternateContent>
        <mc:AlternateContent xmlns:mc="http://schemas.openxmlformats.org/markup-compatibility/2006">
          <mc:Choice Requires="x14">
            <control shapeId="3079" r:id="rId6" name="Button 7">
              <controlPr defaultSize="0" print="0" autoFill="0" autoPict="0" macro="[0]!RefreshDate">
                <anchor moveWithCells="1" sizeWithCells="1">
                  <from>
                    <xdr:col>10</xdr:col>
                    <xdr:colOff>76200</xdr:colOff>
                    <xdr:row>13</xdr:row>
                    <xdr:rowOff>114300</xdr:rowOff>
                  </from>
                  <to>
                    <xdr:col>10</xdr:col>
                    <xdr:colOff>2352675</xdr:colOff>
                    <xdr:row>17</xdr:row>
                    <xdr:rowOff>47625</xdr:rowOff>
                  </to>
                </anchor>
              </controlPr>
            </control>
          </mc:Choice>
        </mc:AlternateContent>
      </controls>
    </mc:Choice>
  </mc:AlternateContent>
  <tableParts count="2">
    <tablePart r:id="rId7"/>
    <tablePart r:id="rId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789CD-5A85-F247-81D9-605919318936}">
  <sheetPr codeName="Sheet4"/>
  <dimension ref="A1:G38"/>
  <sheetViews>
    <sheetView workbookViewId="0">
      <selection activeCell="L12" sqref="L12"/>
    </sheetView>
  </sheetViews>
  <sheetFormatPr defaultColWidth="10.75" defaultRowHeight="15"/>
  <cols>
    <col min="1" max="1" width="49.125" style="3" customWidth="1"/>
    <col min="2" max="2" width="16.625" style="3" customWidth="1"/>
    <col min="3" max="3" width="17.75" style="3" customWidth="1"/>
    <col min="4" max="4" width="16.125" style="3" customWidth="1"/>
    <col min="5" max="5" width="18.75" style="3" customWidth="1"/>
    <col min="6" max="6" width="18.5" style="3" customWidth="1"/>
    <col min="7" max="7" width="21.125" style="3" customWidth="1"/>
    <col min="8" max="16384" width="10.75" style="3"/>
  </cols>
  <sheetData>
    <row r="1" spans="1:7" s="1" customFormat="1" ht="59.25">
      <c r="A1" s="36" t="s">
        <v>43</v>
      </c>
      <c r="B1" s="37"/>
      <c r="C1" s="37"/>
      <c r="D1" s="37"/>
      <c r="E1" s="37"/>
      <c r="F1" s="37"/>
      <c r="G1" s="21"/>
    </row>
    <row r="4" spans="1:7">
      <c r="A4" s="20" t="s">
        <v>1</v>
      </c>
      <c r="B4" s="20" t="s">
        <v>44</v>
      </c>
      <c r="C4" s="20" t="s">
        <v>45</v>
      </c>
      <c r="D4" s="20" t="s">
        <v>46</v>
      </c>
      <c r="E4" s="20" t="s">
        <v>47</v>
      </c>
      <c r="F4" s="20" t="s">
        <v>48</v>
      </c>
      <c r="G4" s="20" t="s">
        <v>49</v>
      </c>
    </row>
    <row r="5" spans="1:7">
      <c r="A5" s="20" t="e" vm="1">
        <v>#VALUE!</v>
      </c>
      <c r="B5" s="20" t="s">
        <v>3</v>
      </c>
      <c r="C5" s="22">
        <v>515</v>
      </c>
      <c r="D5" s="23" cm="1">
        <f t="array" aca="1" ref="D5" ca="1">_FV(Table5[[#This Row],[Stock]],"Price")</f>
        <v>575.91999999999996</v>
      </c>
      <c r="E5" s="24" cm="1">
        <f t="array" aca="1" ref="E5" ca="1">_FV(Table5[[#This Row],[Stock]],"Change (%)",TRUE)</f>
        <v>5.6049999999999997E-3</v>
      </c>
      <c r="F5" s="25">
        <v>558.87</v>
      </c>
      <c r="G5" s="22">
        <v>43.87</v>
      </c>
    </row>
    <row r="6" spans="1:7">
      <c r="A6" s="20" t="e" vm="2">
        <v>#VALUE!</v>
      </c>
      <c r="B6" s="20" t="s">
        <v>4</v>
      </c>
      <c r="C6" s="22">
        <v>280</v>
      </c>
      <c r="D6" s="23" cm="1">
        <f t="array" aca="1" ref="D6" ca="1">_FV(Table5[[#This Row],[Stock]],"Price")</f>
        <v>529.49</v>
      </c>
      <c r="E6" s="24" cm="1">
        <f t="array" aca="1" ref="E6" ca="1">_FV(Table5[[#This Row],[Stock]],"Change (%)",TRUE)</f>
        <v>5.3540000000000003E-3</v>
      </c>
      <c r="F6" s="25">
        <v>289.52999999999997</v>
      </c>
      <c r="G6" s="22">
        <v>9.5299999999999994</v>
      </c>
    </row>
    <row r="7" spans="1:7">
      <c r="A7" s="20" t="e" vm="3">
        <v>#VALUE!</v>
      </c>
      <c r="B7" s="20" t="s">
        <v>5</v>
      </c>
      <c r="C7" s="22">
        <v>100</v>
      </c>
      <c r="D7" s="23" cm="1">
        <f t="array" aca="1" ref="D7" ca="1">_FV(Table5[[#This Row],[Stock]],"Price")</f>
        <v>578.6</v>
      </c>
      <c r="E7" s="24" cm="1">
        <f t="array" aca="1" ref="E7" ca="1">_FV(Table5[[#This Row],[Stock]],"Change (%)",TRUE)</f>
        <v>5.3169999999999997E-3</v>
      </c>
      <c r="F7" s="25">
        <v>100.61</v>
      </c>
      <c r="G7" s="22">
        <v>0.61</v>
      </c>
    </row>
    <row r="8" spans="1:7">
      <c r="A8" s="20" t="e" vm="4">
        <v>#VALUE!</v>
      </c>
      <c r="B8" s="20" t="s">
        <v>7</v>
      </c>
      <c r="C8" s="22">
        <v>100</v>
      </c>
      <c r="D8" s="23" cm="1">
        <f t="array" aca="1" ref="D8" ca="1">_FV(Table5[[#This Row],[Stock]],"Price")</f>
        <v>283.41000000000003</v>
      </c>
      <c r="E8" s="24" cm="1">
        <f t="array" aca="1" ref="E8" ca="1">_FV(Table5[[#This Row],[Stock]],"Change (%)",TRUE)</f>
        <v>4.9639999999999997E-3</v>
      </c>
      <c r="F8" s="25">
        <v>100.56</v>
      </c>
      <c r="G8" s="22">
        <v>0.56000000000000005</v>
      </c>
    </row>
    <row r="9" spans="1:7">
      <c r="A9" s="20" t="e" vm="5">
        <v>#VALUE!</v>
      </c>
      <c r="B9" s="20" t="s">
        <v>50</v>
      </c>
      <c r="C9" s="22">
        <v>0</v>
      </c>
      <c r="D9" s="23" cm="1">
        <f t="array" aca="1" ref="D9" ca="1">_FV(Table5[[#This Row],[Stock]],"Price")</f>
        <v>22.19</v>
      </c>
      <c r="E9" s="24" cm="1">
        <f t="array" aca="1" ref="E9" ca="1">_FV(Table5[[#This Row],[Stock]],"Change (%)",TRUE)</f>
        <v>4.9819999999999994E-3</v>
      </c>
      <c r="F9" s="25">
        <v>0</v>
      </c>
      <c r="G9" s="22">
        <v>0</v>
      </c>
    </row>
    <row r="10" spans="1:7">
      <c r="A10" s="20" t="e" vm="6">
        <v>#VALUE!</v>
      </c>
      <c r="B10" s="20" t="s">
        <v>51</v>
      </c>
      <c r="C10" s="22">
        <v>0</v>
      </c>
      <c r="D10" s="23" cm="1">
        <f t="array" aca="1" ref="D10" ca="1">_FV(Table5[[#This Row],[Stock]],"Price")</f>
        <v>125.72</v>
      </c>
      <c r="E10" s="24" cm="1">
        <f t="array" aca="1" ref="E10" ca="1">_FV(Table5[[#This Row],[Stock]],"Change (%)",TRUE)</f>
        <v>5.1970000000000002E-3</v>
      </c>
      <c r="F10" s="25">
        <v>0</v>
      </c>
      <c r="G10" s="22">
        <v>0</v>
      </c>
    </row>
    <row r="11" spans="1:7">
      <c r="A11" s="20" t="e" vm="7">
        <v>#VALUE!</v>
      </c>
      <c r="B11" s="20" t="s">
        <v>52</v>
      </c>
      <c r="C11" s="22">
        <v>0</v>
      </c>
      <c r="D11" s="23" cm="1">
        <f t="array" aca="1" ref="D11" ca="1">_FV(Table5[[#This Row],[Stock]],"Price")</f>
        <v>63.88</v>
      </c>
      <c r="E11" s="24" cm="1">
        <f t="array" aca="1" ref="E11" ca="1">_FV(Table5[[#This Row],[Stock]],"Change (%)",TRUE)</f>
        <v>8.5249999999999996E-3</v>
      </c>
      <c r="F11" s="25">
        <v>0</v>
      </c>
      <c r="G11" s="22">
        <v>0</v>
      </c>
    </row>
    <row r="12" spans="1:7">
      <c r="A12" s="20" t="e" vm="8">
        <v>#VALUE!</v>
      </c>
      <c r="B12" s="20" t="s">
        <v>53</v>
      </c>
      <c r="C12" s="22">
        <v>0</v>
      </c>
      <c r="D12" s="23" cm="1">
        <f t="array" aca="1" ref="D12" ca="1">_FV(Table5[[#This Row],[Stock]],"Price")</f>
        <v>52.57</v>
      </c>
      <c r="E12" s="24" cm="1">
        <f t="array" aca="1" ref="E12" ca="1">_FV(Table5[[#This Row],[Stock]],"Change (%)",TRUE)</f>
        <v>1.0379000000000001E-2</v>
      </c>
      <c r="F12" s="25">
        <v>0</v>
      </c>
      <c r="G12" s="22">
        <v>0</v>
      </c>
    </row>
    <row r="13" spans="1:7">
      <c r="A13" s="20" t="e" vm="9">
        <v>#VALUE!</v>
      </c>
      <c r="B13" s="20" t="s">
        <v>54</v>
      </c>
      <c r="C13" s="22">
        <v>0</v>
      </c>
      <c r="D13" s="23" cm="1">
        <f t="array" aca="1" ref="D13" ca="1">_FV(Table5[[#This Row],[Stock]],"Price")</f>
        <v>71.61</v>
      </c>
      <c r="E13" s="24" cm="1">
        <f t="array" aca="1" ref="E13" ca="1">_FV(Table5[[#This Row],[Stock]],"Change (%)",TRUE)</f>
        <v>8.4499999999999992E-3</v>
      </c>
      <c r="F13" s="25">
        <v>0</v>
      </c>
      <c r="G13" s="22">
        <v>0</v>
      </c>
    </row>
    <row r="14" spans="1:7">
      <c r="A14" s="20" t="e" vm="10">
        <v>#VALUE!</v>
      </c>
      <c r="B14" s="20" t="s">
        <v>55</v>
      </c>
      <c r="C14" s="22">
        <v>0</v>
      </c>
      <c r="D14" s="23" cm="1">
        <f t="array" aca="1" ref="D14" ca="1">_FV(Table5[[#This Row],[Stock]],"Price")</f>
        <v>491.79</v>
      </c>
      <c r="E14" s="24" cm="1">
        <f t="array" aca="1" ref="E14" ca="1">_FV(Table5[[#This Row],[Stock]],"Change (%)",TRUE)</f>
        <v>7.3540000000000003E-3</v>
      </c>
      <c r="F14" s="25">
        <v>0</v>
      </c>
      <c r="G14" s="22">
        <v>0</v>
      </c>
    </row>
    <row r="15" spans="1:7">
      <c r="A15" s="20" t="e" vm="11">
        <v>#VALUE!</v>
      </c>
      <c r="B15" s="20" t="s">
        <v>56</v>
      </c>
      <c r="C15" s="22">
        <v>0</v>
      </c>
      <c r="D15" s="23" cm="1">
        <f t="array" aca="1" ref="D15" ca="1">_FV(Table5[[#This Row],[Stock]],"Price")</f>
        <v>67.41</v>
      </c>
      <c r="E15" s="24" cm="1">
        <f t="array" aca="1" ref="E15" ca="1">_FV(Table5[[#This Row],[Stock]],"Change (%)",TRUE)</f>
        <v>2.0745E-2</v>
      </c>
      <c r="F15" s="25">
        <v>0</v>
      </c>
      <c r="G15" s="22">
        <v>0</v>
      </c>
    </row>
    <row r="16" spans="1:7">
      <c r="A16" s="20" t="e" vm="12">
        <v>#VALUE!</v>
      </c>
      <c r="B16" s="20" t="s">
        <v>57</v>
      </c>
      <c r="C16" s="22">
        <v>0</v>
      </c>
      <c r="D16" s="23" cm="1">
        <f t="array" aca="1" ref="D16" ca="1">_FV(Table5[[#This Row],[Stock]],"Price")</f>
        <v>73</v>
      </c>
      <c r="E16" s="24" cm="1">
        <f t="array" aca="1" ref="E16" ca="1">_FV(Table5[[#This Row],[Stock]],"Change (%)",TRUE)</f>
        <v>-1.0950000000000001E-3</v>
      </c>
      <c r="F16" s="25">
        <v>0</v>
      </c>
      <c r="G16" s="22">
        <v>0</v>
      </c>
    </row>
    <row r="17" spans="1:7">
      <c r="A17" s="20" t="e" vm="13">
        <v>#VALUE!</v>
      </c>
      <c r="B17" s="20" t="s">
        <v>58</v>
      </c>
      <c r="C17" s="22">
        <v>0</v>
      </c>
      <c r="D17" s="23" cm="1">
        <f t="array" aca="1" ref="D17" ca="1">_FV(Table5[[#This Row],[Stock]],"Price")</f>
        <v>98.35</v>
      </c>
      <c r="E17" s="24" cm="1">
        <f t="array" aca="1" ref="E17" ca="1">_FV(Table5[[#This Row],[Stock]],"Change (%)",TRUE)</f>
        <v>-1.219E-3</v>
      </c>
      <c r="F17" s="25">
        <v>0</v>
      </c>
      <c r="G17" s="22">
        <v>0</v>
      </c>
    </row>
    <row r="18" spans="1:7">
      <c r="A18" s="20" t="e" vm="14">
        <v>#VALUE!</v>
      </c>
      <c r="B18" s="20" t="s">
        <v>59</v>
      </c>
      <c r="C18" s="22">
        <v>0</v>
      </c>
      <c r="D18" s="23" cm="1">
        <f t="array" aca="1" ref="D18" ca="1">_FV(Table5[[#This Row],[Stock]],"Price")</f>
        <v>90.11</v>
      </c>
      <c r="E18" s="24" cm="1">
        <f t="array" aca="1" ref="E18" ca="1">_FV(Table5[[#This Row],[Stock]],"Change (%)",TRUE)</f>
        <v>-3.2079999999999999E-3</v>
      </c>
      <c r="F18" s="25">
        <v>0</v>
      </c>
      <c r="G18" s="22">
        <v>0</v>
      </c>
    </row>
    <row r="19" spans="1:7">
      <c r="A19" s="20" t="e" vm="15">
        <v>#VALUE!</v>
      </c>
      <c r="B19" s="20" t="s">
        <v>60</v>
      </c>
      <c r="C19" s="22">
        <v>0</v>
      </c>
      <c r="D19" s="23" cm="1">
        <f t="array" aca="1" ref="D19" ca="1">_FV(Table5[[#This Row],[Stock]],"Price")</f>
        <v>239.07</v>
      </c>
      <c r="E19" s="24" cm="1">
        <f t="array" aca="1" ref="E19" ca="1">_FV(Table5[[#This Row],[Stock]],"Change (%)",TRUE)</f>
        <v>1.5893000000000001E-2</v>
      </c>
      <c r="F19" s="25">
        <v>0</v>
      </c>
      <c r="G19" s="22">
        <v>0</v>
      </c>
    </row>
    <row r="20" spans="1:7">
      <c r="A20" s="20" t="e" vm="16">
        <v>#VALUE!</v>
      </c>
      <c r="B20" s="20" t="s">
        <v>61</v>
      </c>
      <c r="C20" s="22">
        <v>0</v>
      </c>
      <c r="D20" s="23" cm="1">
        <f t="array" aca="1" ref="D20" ca="1">_FV(Table5[[#This Row],[Stock]],"Price")</f>
        <v>393.31</v>
      </c>
      <c r="E20" s="24" cm="1">
        <f t="array" aca="1" ref="E20" ca="1">_FV(Table5[[#This Row],[Stock]],"Change (%)",TRUE)</f>
        <v>-9.0200000000000002E-3</v>
      </c>
      <c r="F20" s="25">
        <v>0</v>
      </c>
      <c r="G20" s="22">
        <v>0</v>
      </c>
    </row>
    <row r="21" spans="1:7">
      <c r="A21" s="20" t="e" vm="17">
        <v>#VALUE!</v>
      </c>
      <c r="B21" s="20" t="s">
        <v>62</v>
      </c>
      <c r="C21" s="22">
        <v>0</v>
      </c>
      <c r="D21" s="23" cm="1">
        <f t="array" aca="1" ref="D21" ca="1">_FV(Table5[[#This Row],[Stock]],"Price")</f>
        <v>173.86</v>
      </c>
      <c r="E21" s="24" cm="1">
        <f t="array" aca="1" ref="E21" ca="1">_FV(Table5[[#This Row],[Stock]],"Change (%)",TRUE)</f>
        <v>8.7609999999999997E-3</v>
      </c>
      <c r="F21" s="25">
        <v>0</v>
      </c>
      <c r="G21" s="22">
        <v>0</v>
      </c>
    </row>
    <row r="22" spans="1:7">
      <c r="A22" s="20" t="e" vm="18">
        <v>#VALUE!</v>
      </c>
      <c r="B22" s="20" t="s">
        <v>63</v>
      </c>
      <c r="C22" s="22">
        <v>0</v>
      </c>
      <c r="D22" s="23" cm="1">
        <f t="array" aca="1" ref="D22" ca="1">_FV(Table5[[#This Row],[Stock]],"Price")</f>
        <v>199.25</v>
      </c>
      <c r="E22" s="24" cm="1">
        <f t="array" aca="1" ref="E22" ca="1">_FV(Table5[[#This Row],[Stock]],"Change (%)",TRUE)</f>
        <v>-7.2250000000000005E-3</v>
      </c>
      <c r="F22" s="25">
        <v>0</v>
      </c>
      <c r="G22" s="22">
        <v>0</v>
      </c>
    </row>
    <row r="23" spans="1:7">
      <c r="A23" s="20" t="e" vm="19">
        <v>#VALUE!</v>
      </c>
      <c r="B23" s="20" t="s">
        <v>64</v>
      </c>
      <c r="C23" s="22">
        <v>0</v>
      </c>
      <c r="D23" s="23" cm="1">
        <f t="array" aca="1" ref="D23" ca="1">_FV(Table5[[#This Row],[Stock]],"Price")</f>
        <v>262.67</v>
      </c>
      <c r="E23" s="24" cm="1">
        <f t="array" aca="1" ref="E23" ca="1">_FV(Table5[[#This Row],[Stock]],"Change (%)",TRUE)</f>
        <v>-2.9609999999999997E-3</v>
      </c>
      <c r="F23" s="25">
        <v>0</v>
      </c>
      <c r="G23" s="22">
        <v>0</v>
      </c>
    </row>
    <row r="24" spans="1:7">
      <c r="A24" s="20" t="e" vm="20">
        <v>#VALUE!</v>
      </c>
      <c r="B24" s="20" t="s">
        <v>65</v>
      </c>
      <c r="C24" s="22">
        <v>0</v>
      </c>
      <c r="D24" s="23" cm="1">
        <f t="array" aca="1" ref="D24" ca="1">_FV(Table5[[#This Row],[Stock]],"Price")</f>
        <v>241.99</v>
      </c>
      <c r="E24" s="24" cm="1">
        <f t="array" aca="1" ref="E24" ca="1">_FV(Table5[[#This Row],[Stock]],"Change (%)",TRUE)</f>
        <v>-1.8454999999999999E-2</v>
      </c>
      <c r="F24" s="25">
        <v>0</v>
      </c>
      <c r="G24" s="22">
        <v>0</v>
      </c>
    </row>
    <row r="25" spans="1:7">
      <c r="A25" s="20" t="e" vm="21">
        <v>#VALUE!</v>
      </c>
      <c r="B25" s="20" t="s">
        <v>66</v>
      </c>
      <c r="C25" s="22">
        <v>0</v>
      </c>
      <c r="D25" s="23" cm="1">
        <f t="array" aca="1" ref="D25" ca="1">_FV(Table5[[#This Row],[Stock]],"Price")</f>
        <v>41.37</v>
      </c>
      <c r="E25" s="24" cm="1">
        <f t="array" aca="1" ref="E25" ca="1">_FV(Table5[[#This Row],[Stock]],"Change (%)",TRUE)</f>
        <v>4.1260000000000003E-3</v>
      </c>
      <c r="F25" s="25">
        <v>0</v>
      </c>
      <c r="G25" s="22">
        <v>0</v>
      </c>
    </row>
    <row r="26" spans="1:7">
      <c r="A26" s="20" t="e" vm="22">
        <v>#VALUE!</v>
      </c>
      <c r="B26" s="20" t="s">
        <v>67</v>
      </c>
      <c r="C26" s="22">
        <v>0</v>
      </c>
      <c r="D26" s="23" cm="1">
        <f t="array" aca="1" ref="D26" ca="1">_FV(Table5[[#This Row],[Stock]],"Price")</f>
        <v>495.41</v>
      </c>
      <c r="E26" s="24" cm="1">
        <f t="array" aca="1" ref="E26" ca="1">_FV(Table5[[#This Row],[Stock]],"Change (%)",TRUE)</f>
        <v>-4.8809999999999999E-3</v>
      </c>
      <c r="F26" s="25">
        <v>0</v>
      </c>
      <c r="G26" s="22">
        <v>0</v>
      </c>
    </row>
    <row r="27" spans="1:7">
      <c r="A27" s="20" t="e" vm="23">
        <v>#VALUE!</v>
      </c>
      <c r="B27" s="20" t="s">
        <v>8</v>
      </c>
      <c r="C27" s="22">
        <v>100</v>
      </c>
      <c r="D27" s="23" cm="1">
        <f t="array" aca="1" ref="D27" ca="1">_FV(Table5[[#This Row],[Stock]],"Price")</f>
        <v>166.67</v>
      </c>
      <c r="E27" s="24" cm="1">
        <f t="array" aca="1" ref="E27" ca="1">_FV(Table5[[#This Row],[Stock]],"Change (%)",TRUE)</f>
        <v>5.0649999999999992E-3</v>
      </c>
      <c r="F27" s="25">
        <v>98.57</v>
      </c>
      <c r="G27" s="22">
        <v>-1.43</v>
      </c>
    </row>
    <row r="28" spans="1:7">
      <c r="A28" s="20" t="e" vm="24">
        <v>#VALUE!</v>
      </c>
      <c r="B28" s="20" t="s">
        <v>68</v>
      </c>
      <c r="C28" s="22">
        <v>0</v>
      </c>
      <c r="D28" s="23" cm="1">
        <f t="array" aca="1" ref="D28" ca="1">_FV(Table5[[#This Row],[Stock]],"Price")</f>
        <v>493.49</v>
      </c>
      <c r="E28" s="24" cm="1">
        <f t="array" aca="1" ref="E28" ca="1">_FV(Table5[[#This Row],[Stock]],"Change (%)",TRUE)</f>
        <v>1.1831000000000001E-2</v>
      </c>
      <c r="F28" s="25">
        <v>0</v>
      </c>
      <c r="G28" s="22">
        <v>0</v>
      </c>
    </row>
    <row r="29" spans="1:7">
      <c r="A29" s="20" t="e" vm="25">
        <v>#VALUE!</v>
      </c>
      <c r="B29" s="20" t="s">
        <v>69</v>
      </c>
      <c r="C29" s="22">
        <v>0</v>
      </c>
      <c r="D29" s="23" cm="1">
        <f t="array" aca="1" ref="D29" ca="1">_FV(Table5[[#This Row],[Stock]],"Price")</f>
        <v>26.73</v>
      </c>
      <c r="E29" s="24" cm="1">
        <f t="array" aca="1" ref="E29" ca="1">_FV(Table5[[#This Row],[Stock]],"Change (%)",TRUE)</f>
        <v>1.8674E-2</v>
      </c>
      <c r="F29" s="25">
        <v>0</v>
      </c>
      <c r="G29" s="22">
        <v>0</v>
      </c>
    </row>
    <row r="30" spans="1:7">
      <c r="A30" s="20" t="e" vm="26">
        <v>#VALUE!</v>
      </c>
      <c r="B30" s="20" t="s">
        <v>70</v>
      </c>
      <c r="C30" s="22">
        <v>0</v>
      </c>
      <c r="D30" s="23" cm="1">
        <f t="array" aca="1" ref="D30" ca="1">_FV(Table5[[#This Row],[Stock]],"Price")</f>
        <v>108.98</v>
      </c>
      <c r="E30" s="24" cm="1">
        <f t="array" aca="1" ref="E30" ca="1">_FV(Table5[[#This Row],[Stock]],"Change (%)",TRUE)</f>
        <v>1.2637000000000001E-2</v>
      </c>
      <c r="F30" s="25">
        <v>0</v>
      </c>
      <c r="G30" s="22">
        <v>0</v>
      </c>
    </row>
    <row r="31" spans="1:7">
      <c r="A31" s="20" t="e" vm="27">
        <v>#VALUE!</v>
      </c>
      <c r="B31" s="20" t="s">
        <v>71</v>
      </c>
      <c r="C31" s="22">
        <v>0</v>
      </c>
      <c r="D31" s="23" cm="1">
        <f t="array" aca="1" ref="D31" ca="1">_FV(Table5[[#This Row],[Stock]],"Price")</f>
        <v>156.32</v>
      </c>
      <c r="E31" s="24" cm="1">
        <f t="array" aca="1" ref="E31" ca="1">_FV(Table5[[#This Row],[Stock]],"Change (%)",TRUE)</f>
        <v>2.2033000000000001E-2</v>
      </c>
      <c r="F31" s="25">
        <v>0</v>
      </c>
      <c r="G31" s="22">
        <v>0</v>
      </c>
    </row>
    <row r="32" spans="1:7">
      <c r="A32" s="20" t="e" vm="28">
        <v>#VALUE!</v>
      </c>
      <c r="B32" s="20" t="s">
        <v>72</v>
      </c>
      <c r="C32" s="22">
        <v>0</v>
      </c>
      <c r="D32" s="23" cm="1">
        <f t="array" aca="1" ref="D32" ca="1">_FV(Table5[[#This Row],[Stock]],"Price")</f>
        <v>32.07</v>
      </c>
      <c r="E32" s="24" cm="1">
        <f t="array" aca="1" ref="E32" ca="1">_FV(Table5[[#This Row],[Stock]],"Change (%)",TRUE)</f>
        <v>1.1353E-2</v>
      </c>
      <c r="F32" s="25">
        <v>0</v>
      </c>
      <c r="G32" s="22">
        <v>0</v>
      </c>
    </row>
    <row r="33" spans="1:7">
      <c r="A33" s="20" t="e" vm="29">
        <v>#VALUE!</v>
      </c>
      <c r="B33" s="20" t="s">
        <v>73</v>
      </c>
      <c r="C33" s="22">
        <v>0</v>
      </c>
      <c r="D33" s="23" cm="1">
        <f t="array" aca="1" ref="D33" ca="1">_FV(Table5[[#This Row],[Stock]],"Price")</f>
        <v>175.9</v>
      </c>
      <c r="E33" s="24" cm="1">
        <f t="array" aca="1" ref="E33" ca="1">_FV(Table5[[#This Row],[Stock]],"Change (%)",TRUE)</f>
        <v>7.0999999999999995E-3</v>
      </c>
      <c r="F33" s="25">
        <v>0</v>
      </c>
      <c r="G33" s="22">
        <v>0</v>
      </c>
    </row>
    <row r="34" spans="1:7">
      <c r="A34" s="20" t="e" vm="30">
        <v>#VALUE!</v>
      </c>
      <c r="B34" s="20" t="s">
        <v>74</v>
      </c>
      <c r="C34" s="22">
        <v>0</v>
      </c>
      <c r="D34" s="23" cm="1">
        <f t="array" aca="1" ref="D34" ca="1">_FV(Table5[[#This Row],[Stock]],"Price")</f>
        <v>71.42</v>
      </c>
      <c r="E34" s="24" cm="1">
        <f t="array" aca="1" ref="E34" ca="1">_FV(Table5[[#This Row],[Stock]],"Change (%)",TRUE)</f>
        <v>1.3625E-2</v>
      </c>
      <c r="F34" s="25">
        <v>0</v>
      </c>
      <c r="G34" s="22">
        <v>0</v>
      </c>
    </row>
    <row r="35" spans="1:7">
      <c r="A35" s="20" t="e" vm="31">
        <v>#VALUE!</v>
      </c>
      <c r="B35" s="20" t="s">
        <v>75</v>
      </c>
      <c r="C35" s="22">
        <v>0</v>
      </c>
      <c r="D35" s="23" cm="1">
        <f t="array" aca="1" ref="D35" ca="1">_FV(Table5[[#This Row],[Stock]],"Price")</f>
        <v>105.51</v>
      </c>
      <c r="E35" s="24" cm="1">
        <f t="array" aca="1" ref="E35" ca="1">_FV(Table5[[#This Row],[Stock]],"Change (%)",TRUE)</f>
        <v>7.5880000000000001E-4</v>
      </c>
      <c r="F35" s="25">
        <v>0</v>
      </c>
      <c r="G35" s="22">
        <v>0</v>
      </c>
    </row>
    <row r="36" spans="1:7">
      <c r="A36" s="20" t="e" vm="32">
        <v>#VALUE!</v>
      </c>
      <c r="B36" s="20" t="s">
        <v>76</v>
      </c>
      <c r="C36" s="22">
        <v>0</v>
      </c>
      <c r="D36" s="23" cm="1">
        <f t="array" aca="1" ref="D36" ca="1">_FV(Table5[[#This Row],[Stock]],"Price")</f>
        <v>112.69</v>
      </c>
      <c r="E36" s="24" cm="1">
        <f t="array" aca="1" ref="E36" ca="1">_FV(Table5[[#This Row],[Stock]],"Change (%)",TRUE)</f>
        <v>1.9172999999999999E-2</v>
      </c>
      <c r="F36" s="25">
        <v>0</v>
      </c>
      <c r="G36" s="22">
        <v>0</v>
      </c>
    </row>
    <row r="37" spans="1:7">
      <c r="A37" s="20" t="e" vm="33">
        <v>#VALUE!</v>
      </c>
      <c r="B37" s="20" t="s">
        <v>77</v>
      </c>
      <c r="C37" s="22">
        <v>0</v>
      </c>
      <c r="D37" s="23" cm="1">
        <f t="array" aca="1" ref="D37" ca="1">_FV(Table5[[#This Row],[Stock]],"Price")</f>
        <v>100.31</v>
      </c>
      <c r="E37" s="24" cm="1">
        <f t="array" aca="1" ref="E37" ca="1">_FV(Table5[[#This Row],[Stock]],"Change (%)",TRUE)</f>
        <v>1.477E-2</v>
      </c>
      <c r="F37" s="25">
        <v>0</v>
      </c>
      <c r="G37" s="22">
        <v>0</v>
      </c>
    </row>
    <row r="38" spans="1:7">
      <c r="A38" s="20" t="e" vm="34">
        <v>#VALUE!</v>
      </c>
      <c r="B38" s="20" t="s">
        <v>78</v>
      </c>
      <c r="C38" s="22">
        <v>0</v>
      </c>
      <c r="D38" s="23" cm="1">
        <f t="array" aca="1" ref="D38" ca="1">_FV(Table5[[#This Row],[Stock]],"Price")</f>
        <v>625.66</v>
      </c>
      <c r="E38" s="24" cm="1">
        <f t="array" aca="1" ref="E38" ca="1">_FV(Table5[[#This Row],[Stock]],"Change (%)",TRUE)</f>
        <v>-3.6149999999999997E-3</v>
      </c>
      <c r="F38" s="25">
        <v>0</v>
      </c>
      <c r="G38" s="22">
        <v>0</v>
      </c>
    </row>
  </sheetData>
  <mergeCells count="1">
    <mergeCell ref="A1:F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Module11.ShowStocksForm">
                <anchor moveWithCells="1" sizeWithCells="1">
                  <from>
                    <xdr:col>8</xdr:col>
                    <xdr:colOff>676275</xdr:colOff>
                    <xdr:row>3</xdr:row>
                    <xdr:rowOff>76200</xdr:rowOff>
                  </from>
                  <to>
                    <xdr:col>11</xdr:col>
                    <xdr:colOff>333375</xdr:colOff>
                    <xdr:row>9</xdr:row>
                    <xdr:rowOff>95250</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6F7B-0462-47BC-AA44-38BF7E5A3DF9}">
  <sheetPr codeName="Sheet5"/>
  <dimension ref="E1:AL1"/>
  <sheetViews>
    <sheetView workbookViewId="0">
      <selection activeCell="G18" sqref="G18"/>
    </sheetView>
  </sheetViews>
  <sheetFormatPr defaultRowHeight="15"/>
  <sheetData>
    <row r="1" spans="5:38">
      <c r="E1">
        <v>3.1904250000000003</v>
      </c>
      <c r="F1">
        <v>1.7138799999999998</v>
      </c>
      <c r="G1">
        <v>0.61150000000000004</v>
      </c>
      <c r="H1">
        <v>0.56000000000000005</v>
      </c>
      <c r="I1">
        <v>0</v>
      </c>
      <c r="J1">
        <v>0</v>
      </c>
      <c r="K1">
        <v>0</v>
      </c>
      <c r="L1">
        <v>0</v>
      </c>
      <c r="M1">
        <v>0</v>
      </c>
      <c r="N1">
        <v>0</v>
      </c>
      <c r="O1">
        <v>0</v>
      </c>
      <c r="P1">
        <v>0</v>
      </c>
      <c r="Q1">
        <v>0</v>
      </c>
      <c r="R1">
        <v>0</v>
      </c>
      <c r="S1">
        <v>0</v>
      </c>
      <c r="T1">
        <v>0</v>
      </c>
      <c r="U1">
        <v>0</v>
      </c>
      <c r="V1">
        <v>0</v>
      </c>
      <c r="W1">
        <v>0</v>
      </c>
      <c r="X1">
        <v>0</v>
      </c>
      <c r="Y1">
        <v>0</v>
      </c>
      <c r="Z1">
        <v>0</v>
      </c>
      <c r="AA1">
        <v>-0.2059</v>
      </c>
      <c r="AB1">
        <v>0</v>
      </c>
      <c r="AC1">
        <v>0</v>
      </c>
      <c r="AD1">
        <v>0</v>
      </c>
      <c r="AE1">
        <v>0</v>
      </c>
      <c r="AF1">
        <v>0</v>
      </c>
      <c r="AG1">
        <v>0</v>
      </c>
      <c r="AH1">
        <v>0</v>
      </c>
      <c r="AI1">
        <v>0</v>
      </c>
      <c r="AJ1">
        <v>0</v>
      </c>
      <c r="AK1">
        <v>0</v>
      </c>
      <c r="AL1">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ab55c4b2-893a-4abe-9104-5a273518009e"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02635965316BB4395FBFAB2CD059C9F" ma:contentTypeVersion="6" ma:contentTypeDescription="Create a new document." ma:contentTypeScope="" ma:versionID="3aaf2a6f2d2e0fffe1e823cf437a3d73">
  <xsd:schema xmlns:xsd="http://www.w3.org/2001/XMLSchema" xmlns:xs="http://www.w3.org/2001/XMLSchema" xmlns:p="http://schemas.microsoft.com/office/2006/metadata/properties" xmlns:ns3="ab55c4b2-893a-4abe-9104-5a273518009e" targetNamespace="http://schemas.microsoft.com/office/2006/metadata/properties" ma:root="true" ma:fieldsID="3de3ad096f273a01cf92d6f16ec7cd37" ns3:_="">
    <xsd:import namespace="ab55c4b2-893a-4abe-9104-5a273518009e"/>
    <xsd:element name="properties">
      <xsd:complexType>
        <xsd:sequence>
          <xsd:element name="documentManagement">
            <xsd:complexType>
              <xsd:all>
                <xsd:element ref="ns3:MediaServiceDateTaken" minOccurs="0"/>
                <xsd:element ref="ns3:_activity" minOccurs="0"/>
                <xsd:element ref="ns3:MediaServiceMetadata" minOccurs="0"/>
                <xsd:element ref="ns3:MediaServiceFastMetadata" minOccurs="0"/>
                <xsd:element ref="ns3:MediaServiceSearchPropertie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55c4b2-893a-4abe-9104-5a273518009e"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_activity" ma:index="9" nillable="true" ma:displayName="_activity" ma:hidden="true" ma:internalName="_activity">
      <xsd:simpleType>
        <xsd:restriction base="dms:Note"/>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4156D25-3976-4DEC-B7D8-E9076F932465}"/>
</file>

<file path=customXml/itemProps2.xml><?xml version="1.0" encoding="utf-8"?>
<ds:datastoreItem xmlns:ds="http://schemas.openxmlformats.org/officeDocument/2006/customXml" ds:itemID="{FF7AE0A7-990B-487C-9D34-7492E82F3DA3}"/>
</file>

<file path=customXml/itemProps3.xml><?xml version="1.0" encoding="utf-8"?>
<ds:datastoreItem xmlns:ds="http://schemas.openxmlformats.org/officeDocument/2006/customXml" ds:itemID="{8311629D-78C2-4845-BA4F-FF0B5552FCB0}"/>
</file>

<file path=docMetadata/LabelInfo.xml><?xml version="1.0" encoding="utf-8"?>
<clbl:labelList xmlns:clbl="http://schemas.microsoft.com/office/2020/mipLabelMetadata">
  <clbl:label id="{723a5a87-f39a-4a22-9247-3fc240c01396}" enabled="0" method="" siteId="{723a5a87-f39a-4a22-9247-3fc240c01396}"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Callum Camazzola</dc:creator>
  <cp:keywords/>
  <dc:description/>
  <cp:lastModifiedBy/>
  <cp:revision/>
  <dcterms:created xsi:type="dcterms:W3CDTF">2024-11-07T01:35:56Z</dcterms:created>
  <dcterms:modified xsi:type="dcterms:W3CDTF">2025-03-09T04:05:05Z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0x010100A02635965316BB4395FBFAB2CD059C9F</vt:lpwstr>
  </property>
</Properties>
</file>